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de\AppData\Roaming\Microsoft\Windows\Network Shortcuts\"/>
    </mc:Choice>
  </mc:AlternateContent>
  <xr:revisionPtr revIDLastSave="0" documentId="13_ncr:1_{28CF5A61-91DD-47BA-A807-1D40838CAD03}" xr6:coauthVersionLast="47" xr6:coauthVersionMax="47" xr10:uidLastSave="{00000000-0000-0000-0000-000000000000}"/>
  <bookViews>
    <workbookView xWindow="-108" yWindow="-108" windowWidth="23256" windowHeight="12456" firstSheet="6" activeTab="8" xr2:uid="{178F5C94-FDF8-407D-BEA4-0A9A639210B8}"/>
  </bookViews>
  <sheets>
    <sheet name="remove duplicates" sheetId="1" r:id="rId1"/>
    <sheet name="Sheet2" sheetId="2" r:id="rId2"/>
    <sheet name="Sheet3" sheetId="3" r:id="rId3"/>
    <sheet name="Logical Function" sheetId="9" r:id="rId4"/>
    <sheet name="sort and filter" sheetId="10" r:id="rId5"/>
    <sheet name="SORT ANF FILTER FORMULA" sheetId="11" r:id="rId6"/>
    <sheet name="Sheet5" sheetId="12" r:id="rId7"/>
    <sheet name="Data validation" sheetId="7" r:id="rId8"/>
    <sheet name="Incentive calculation" sheetId="8" r:id="rId9"/>
    <sheet name="Sheet4" sheetId="4" r:id="rId10"/>
    <sheet name="data cleaning" sheetId="5" r:id="rId11"/>
    <sheet name="Split data" sheetId="6" r:id="rId12"/>
  </sheets>
  <externalReferences>
    <externalReference r:id="rId13"/>
  </externalReferences>
  <definedNames>
    <definedName name="_xlnm._FilterDatabase" localSheetId="4" hidden="1">'sort and filter'!$A$1:$H$16</definedName>
  </definedName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2" l="1" a="1"/>
  <c r="R2" i="12" s="1"/>
  <c r="BE2" i="11" a="1"/>
  <c r="BE2" i="11" s="1"/>
  <c r="AK2" i="11" a="1"/>
  <c r="AK2" i="11" s="1"/>
  <c r="S2" i="11" a="1"/>
  <c r="S2" i="11" s="1"/>
  <c r="H4" i="10"/>
  <c r="H8" i="10"/>
  <c r="H3" i="10"/>
  <c r="H16" i="10"/>
  <c r="H10" i="10"/>
  <c r="H15" i="10"/>
  <c r="H6" i="10"/>
  <c r="H13" i="10"/>
  <c r="H11" i="10"/>
  <c r="H14" i="10"/>
  <c r="H9" i="10"/>
  <c r="H2" i="10"/>
  <c r="H12" i="10"/>
  <c r="H7" i="10"/>
  <c r="H5" i="10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" i="9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" i="8"/>
  <c r="O3" i="6"/>
  <c r="O4" i="6"/>
  <c r="O5" i="6"/>
  <c r="O6" i="6"/>
  <c r="O2" i="6"/>
  <c r="N3" i="6"/>
  <c r="N4" i="6"/>
  <c r="N5" i="6"/>
  <c r="N6" i="6"/>
  <c r="N2" i="6"/>
  <c r="M3" i="6"/>
  <c r="M4" i="6"/>
  <c r="M5" i="6"/>
  <c r="M6" i="6"/>
  <c r="M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3" i="4"/>
  <c r="D4" i="4"/>
  <c r="D5" i="4"/>
  <c r="D6" i="4"/>
  <c r="D7" i="4"/>
  <c r="D8" i="4"/>
  <c r="O28" i="5"/>
  <c r="N28" i="5"/>
  <c r="O27" i="5"/>
  <c r="N27" i="5"/>
  <c r="O26" i="5"/>
  <c r="N26" i="5"/>
  <c r="O25" i="5"/>
  <c r="N25" i="5"/>
  <c r="O24" i="5"/>
  <c r="N24" i="5"/>
  <c r="O23" i="5"/>
  <c r="N23" i="5"/>
  <c r="O22" i="5"/>
  <c r="N22" i="5"/>
  <c r="O21" i="5"/>
  <c r="N21" i="5"/>
  <c r="O20" i="5"/>
  <c r="N20" i="5"/>
  <c r="O19" i="5"/>
  <c r="N19" i="5"/>
  <c r="O18" i="5"/>
  <c r="N18" i="5"/>
  <c r="O17" i="5"/>
  <c r="N17" i="5"/>
  <c r="O16" i="5"/>
  <c r="N16" i="5"/>
  <c r="O15" i="5"/>
  <c r="N15" i="5"/>
  <c r="O14" i="5"/>
  <c r="N14" i="5"/>
  <c r="O13" i="5"/>
  <c r="N13" i="5"/>
  <c r="O12" i="5"/>
  <c r="N12" i="5"/>
  <c r="O11" i="5"/>
  <c r="N11" i="5"/>
  <c r="O10" i="5"/>
  <c r="N10" i="5"/>
  <c r="O9" i="5"/>
  <c r="N9" i="5"/>
  <c r="O8" i="5"/>
  <c r="N8" i="5"/>
  <c r="O7" i="5"/>
  <c r="N7" i="5"/>
  <c r="O6" i="5"/>
  <c r="N6" i="5"/>
  <c r="O5" i="5"/>
  <c r="N5" i="5"/>
  <c r="O4" i="5"/>
  <c r="N4" i="5"/>
  <c r="O3" i="5"/>
  <c r="N3" i="5"/>
  <c r="O2" i="5"/>
  <c r="N2" i="5"/>
  <c r="D2" i="4"/>
  <c r="C3" i="4"/>
  <c r="C4" i="4"/>
  <c r="C5" i="4"/>
  <c r="C6" i="4"/>
  <c r="C7" i="4"/>
  <c r="C8" i="4"/>
  <c r="C2" i="4"/>
  <c r="F4" i="4"/>
  <c r="F6" i="4"/>
  <c r="F8" i="4"/>
  <c r="F2" i="4"/>
  <c r="E3" i="4"/>
  <c r="F3" i="4" s="1"/>
  <c r="E4" i="4"/>
  <c r="E5" i="4"/>
  <c r="F5" i="4" s="1"/>
  <c r="E6" i="4"/>
  <c r="E7" i="4"/>
  <c r="F7" i="4" s="1"/>
  <c r="E8" i="4"/>
  <c r="E2" i="4"/>
  <c r="B3" i="4"/>
  <c r="B4" i="4"/>
  <c r="B5" i="4"/>
  <c r="B6" i="4"/>
  <c r="B7" i="4"/>
  <c r="B8" i="4"/>
  <c r="B2" i="4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<sst xmlns="http://schemas.openxmlformats.org/spreadsheetml/2006/main" count="1303" uniqueCount="408">
  <si>
    <t>Product ID</t>
  </si>
  <si>
    <t>Product Name</t>
  </si>
  <si>
    <t>Category</t>
  </si>
  <si>
    <t>Price</t>
  </si>
  <si>
    <t>Quantity</t>
  </si>
  <si>
    <t>Rating</t>
  </si>
  <si>
    <t>Seller</t>
  </si>
  <si>
    <t>Apple Iphone 13pro</t>
  </si>
  <si>
    <t>Nokia series14</t>
  </si>
  <si>
    <t>Moto g45</t>
  </si>
  <si>
    <t>Sumsang ultra</t>
  </si>
  <si>
    <t>Redmi note11</t>
  </si>
  <si>
    <t>Vivo v12</t>
  </si>
  <si>
    <t>Sumsang j7</t>
  </si>
  <si>
    <t>Infix hotpro</t>
  </si>
  <si>
    <t>Poco Max</t>
  </si>
  <si>
    <t>Iphone 15Pro</t>
  </si>
  <si>
    <t>nokia 11</t>
  </si>
  <si>
    <t>Micro Max</t>
  </si>
  <si>
    <t>Jio phone</t>
  </si>
  <si>
    <t>Sumsang a9 tablet</t>
  </si>
  <si>
    <t>boat earbuds</t>
  </si>
  <si>
    <t>noise buds</t>
  </si>
  <si>
    <t>pPturn buds</t>
  </si>
  <si>
    <t>Dell laptop</t>
  </si>
  <si>
    <t>Lenvo slim3</t>
  </si>
  <si>
    <t>lenvo slim5</t>
  </si>
  <si>
    <t>Hp victius</t>
  </si>
  <si>
    <t>Asus Vivobook</t>
  </si>
  <si>
    <t>Mobile</t>
  </si>
  <si>
    <t>earbuds</t>
  </si>
  <si>
    <t>laptop</t>
  </si>
  <si>
    <t>macbbok12pro</t>
  </si>
  <si>
    <t>Mobile tech</t>
  </si>
  <si>
    <t>mobile mafia</t>
  </si>
  <si>
    <t>mobile adda</t>
  </si>
  <si>
    <t>mobile room</t>
  </si>
  <si>
    <t>electronic mart</t>
  </si>
  <si>
    <t>laptop showroom</t>
  </si>
  <si>
    <t>Values</t>
  </si>
  <si>
    <t>Product</t>
  </si>
  <si>
    <t>Sum of Qtr 1</t>
  </si>
  <si>
    <t>Sum of Qtr 2</t>
  </si>
  <si>
    <t>Sum of Qtr 3</t>
  </si>
  <si>
    <t>Sum of Qtr 4</t>
  </si>
  <si>
    <t>Alice Mutton</t>
  </si>
  <si>
    <t>Aniseed Syrup</t>
  </si>
  <si>
    <t>Boston Crab Meat</t>
  </si>
  <si>
    <t>Camembert Pierrot</t>
  </si>
  <si>
    <t>Chef Anton's Cajun Seasoning</t>
  </si>
  <si>
    <t>Chef Anton's Gumbo Mix</t>
  </si>
  <si>
    <t>Filo Mix</t>
  </si>
  <si>
    <t>Gorgonzola Telino</t>
  </si>
  <si>
    <t>Grandma's Boysenberry Spread</t>
  </si>
  <si>
    <t>Ipoh Coffee</t>
  </si>
  <si>
    <t>Jack's New England Clam Chowder</t>
  </si>
  <si>
    <t>Laughing Lumberjack Lager</t>
  </si>
  <si>
    <t>Longlife Tofu</t>
  </si>
  <si>
    <t>Louisiana Fiery Hot Pepper Sauce</t>
  </si>
  <si>
    <t>Louisiana Hot Spiced Okra</t>
  </si>
  <si>
    <t>Mozzarella di Giovanni</t>
  </si>
  <si>
    <t>Northwoods Cranberry Sauce</t>
  </si>
  <si>
    <t>Ravioli Angelo</t>
  </si>
  <si>
    <t>Sasquatch Ale</t>
  </si>
  <si>
    <t>Sir Rodney's Marmalade</t>
  </si>
  <si>
    <t>Sir Rodney's Scones</t>
  </si>
  <si>
    <t>Steeleye Stout</t>
  </si>
  <si>
    <t>Teatime Chocolate Biscuits</t>
  </si>
  <si>
    <t>Uncle Bob's Organic Dried Pears</t>
  </si>
  <si>
    <t>Veggie-spread</t>
  </si>
  <si>
    <t>Grand Total</t>
  </si>
  <si>
    <t>Employee ID</t>
  </si>
  <si>
    <t>Name</t>
  </si>
  <si>
    <t>Department</t>
  </si>
  <si>
    <t>Salary</t>
  </si>
  <si>
    <t>Joining Date</t>
  </si>
  <si>
    <t>empoo1</t>
  </si>
  <si>
    <t>Employee1</t>
  </si>
  <si>
    <t>Finance</t>
  </si>
  <si>
    <t>empoo2</t>
  </si>
  <si>
    <t>Employee2</t>
  </si>
  <si>
    <t>Operations</t>
  </si>
  <si>
    <t>empoo3</t>
  </si>
  <si>
    <t>Employee3</t>
  </si>
  <si>
    <t>Sales</t>
  </si>
  <si>
    <t>empoo6</t>
  </si>
  <si>
    <t>Employee6</t>
  </si>
  <si>
    <t>empoo7</t>
  </si>
  <si>
    <t>Employee7</t>
  </si>
  <si>
    <t>empoo8</t>
  </si>
  <si>
    <t>Employee8</t>
  </si>
  <si>
    <t>empoo9</t>
  </si>
  <si>
    <t>Employee9</t>
  </si>
  <si>
    <t>empoo10</t>
  </si>
  <si>
    <t>Employee10</t>
  </si>
  <si>
    <t>empoo11</t>
  </si>
  <si>
    <t>Employee11</t>
  </si>
  <si>
    <t>empoo12</t>
  </si>
  <si>
    <t>Employee12</t>
  </si>
  <si>
    <t>empoo13</t>
  </si>
  <si>
    <t>Employee13</t>
  </si>
  <si>
    <t>empoo14</t>
  </si>
  <si>
    <t>Employee14</t>
  </si>
  <si>
    <t>empoo15</t>
  </si>
  <si>
    <t>Employee15</t>
  </si>
  <si>
    <t>empoo16</t>
  </si>
  <si>
    <t>Employee16</t>
  </si>
  <si>
    <t>empoo17</t>
  </si>
  <si>
    <t>Employee17</t>
  </si>
  <si>
    <t>empoo18</t>
  </si>
  <si>
    <t>Employee18</t>
  </si>
  <si>
    <t>empoo19</t>
  </si>
  <si>
    <t>Employee19</t>
  </si>
  <si>
    <t>empoo20</t>
  </si>
  <si>
    <t>Employee20</t>
  </si>
  <si>
    <t>empoo21</t>
  </si>
  <si>
    <t>Employee21</t>
  </si>
  <si>
    <t>empoo23</t>
  </si>
  <si>
    <t>empoo24</t>
  </si>
  <si>
    <t>empoo25</t>
  </si>
  <si>
    <t>empoo26</t>
  </si>
  <si>
    <t>Employee23</t>
  </si>
  <si>
    <t>Employee24</t>
  </si>
  <si>
    <t>Employee25</t>
  </si>
  <si>
    <t>Employee26</t>
  </si>
  <si>
    <t>length</t>
  </si>
  <si>
    <t xml:space="preserve">    Mobile</t>
  </si>
  <si>
    <t xml:space="preserve">Mobile    </t>
  </si>
  <si>
    <t xml:space="preserve">       Mobile</t>
  </si>
  <si>
    <t xml:space="preserve">  Mobile</t>
  </si>
  <si>
    <t xml:space="preserve"> Mobile</t>
  </si>
  <si>
    <t xml:space="preserve"> tablet</t>
  </si>
  <si>
    <t xml:space="preserve">  earbuds</t>
  </si>
  <si>
    <t xml:space="preserve">earbuds  </t>
  </si>
  <si>
    <t>Remove Space</t>
  </si>
  <si>
    <t>Material</t>
  </si>
  <si>
    <t>LENGTH</t>
  </si>
  <si>
    <t xml:space="preserve">WH1881NL01    </t>
  </si>
  <si>
    <t xml:space="preserve">WH10017QH01         </t>
  </si>
  <si>
    <t xml:space="preserve">WH10017SL01            </t>
  </si>
  <si>
    <t xml:space="preserve">WH1043NM01    </t>
  </si>
  <si>
    <t xml:space="preserve">WH1043YL05 </t>
  </si>
  <si>
    <t xml:space="preserve">WH1043YH01                     </t>
  </si>
  <si>
    <t xml:space="preserve">WH1595NL01                   </t>
  </si>
  <si>
    <t>Trim</t>
  </si>
  <si>
    <t>TRIM LENGTH</t>
  </si>
  <si>
    <t>Subsitute</t>
  </si>
  <si>
    <t>Subs length</t>
  </si>
  <si>
    <t>hotel</t>
  </si>
  <si>
    <t>is_canceled</t>
  </si>
  <si>
    <t>lead_time</t>
  </si>
  <si>
    <t>arrival_date_year</t>
  </si>
  <si>
    <t>adults</t>
  </si>
  <si>
    <t>children</t>
  </si>
  <si>
    <t>babies</t>
  </si>
  <si>
    <t>country</t>
  </si>
  <si>
    <t>reserved_room_type</t>
  </si>
  <si>
    <t>assigned_room_type</t>
  </si>
  <si>
    <t>reservation_status</t>
  </si>
  <si>
    <t>reservation_status_date</t>
  </si>
  <si>
    <t>Room_status</t>
  </si>
  <si>
    <t>Guest_type</t>
  </si>
  <si>
    <t>Resort Hotel</t>
  </si>
  <si>
    <t>July</t>
  </si>
  <si>
    <t>PRT</t>
  </si>
  <si>
    <t>C</t>
  </si>
  <si>
    <t>Check-Out</t>
  </si>
  <si>
    <t>GBR</t>
  </si>
  <si>
    <t>A</t>
  </si>
  <si>
    <t>Canceled</t>
  </si>
  <si>
    <t>D</t>
  </si>
  <si>
    <t>E</t>
  </si>
  <si>
    <t>USA</t>
  </si>
  <si>
    <t>ESP</t>
  </si>
  <si>
    <t>G</t>
  </si>
  <si>
    <t>IRL</t>
  </si>
  <si>
    <t>FRA</t>
  </si>
  <si>
    <t>F</t>
  </si>
  <si>
    <t>I</t>
  </si>
  <si>
    <t>March</t>
  </si>
  <si>
    <t>May</t>
  </si>
  <si>
    <t>Octuber</t>
  </si>
  <si>
    <t>November</t>
  </si>
  <si>
    <t>April</t>
  </si>
  <si>
    <t>Agyuest</t>
  </si>
  <si>
    <t>Febuary</t>
  </si>
  <si>
    <t>June</t>
  </si>
  <si>
    <t>Arrival_Month</t>
  </si>
  <si>
    <t>stock</t>
  </si>
  <si>
    <t>New stock</t>
  </si>
  <si>
    <t>City-Pincode</t>
  </si>
  <si>
    <t>Buxar-806945</t>
  </si>
  <si>
    <t>Noida-123456</t>
  </si>
  <si>
    <t>Pune-15678</t>
  </si>
  <si>
    <t>Mumbai-908765</t>
  </si>
  <si>
    <t>Bikramganj-567834</t>
  </si>
  <si>
    <t>Buxar</t>
  </si>
  <si>
    <t>City</t>
  </si>
  <si>
    <t>Noida</t>
  </si>
  <si>
    <t>Pune</t>
  </si>
  <si>
    <t>Mumbai</t>
  </si>
  <si>
    <t>Bikramganj</t>
  </si>
  <si>
    <t>Pincode</t>
  </si>
  <si>
    <t>Find"-"</t>
  </si>
  <si>
    <t>Left formula</t>
  </si>
  <si>
    <t>right formula</t>
  </si>
  <si>
    <t>Contact No</t>
  </si>
  <si>
    <t>abc</t>
  </si>
  <si>
    <t>xjbvj</t>
  </si>
  <si>
    <t>Target Status</t>
  </si>
  <si>
    <t>Incentive</t>
  </si>
  <si>
    <t>Target Condition</t>
  </si>
  <si>
    <t>Sales Achieved</t>
  </si>
  <si>
    <t>&gt;=5000</t>
  </si>
  <si>
    <t>&lt;5000</t>
  </si>
  <si>
    <t>Status</t>
  </si>
  <si>
    <t>Completed</t>
  </si>
  <si>
    <t>Incomplete</t>
  </si>
  <si>
    <t>Incentive Calculation</t>
  </si>
  <si>
    <t>Percentage</t>
  </si>
  <si>
    <t>5000&gt;</t>
  </si>
  <si>
    <t>7500&gt;</t>
  </si>
  <si>
    <t>Promotion</t>
  </si>
  <si>
    <t>Working Experience</t>
  </si>
  <si>
    <t>Both</t>
  </si>
  <si>
    <t>Experience&gt;=5</t>
  </si>
  <si>
    <t>yes</t>
  </si>
  <si>
    <t>Anyone</t>
  </si>
  <si>
    <t>Promotion(and)</t>
  </si>
  <si>
    <t>Promotion1(or)</t>
  </si>
  <si>
    <t>Sales date</t>
  </si>
  <si>
    <t>Region</t>
  </si>
  <si>
    <t>State</t>
  </si>
  <si>
    <t>Price per Unit</t>
  </si>
  <si>
    <t>Sales Amount</t>
  </si>
  <si>
    <t>west</t>
  </si>
  <si>
    <t>east</t>
  </si>
  <si>
    <t>north</t>
  </si>
  <si>
    <t>south</t>
  </si>
  <si>
    <t>east-west</t>
  </si>
  <si>
    <t>south-west</t>
  </si>
  <si>
    <t>north-east</t>
  </si>
  <si>
    <t>south-east</t>
  </si>
  <si>
    <t>north-west</t>
  </si>
  <si>
    <t>bihar</t>
  </si>
  <si>
    <t>up</t>
  </si>
  <si>
    <t>odisha</t>
  </si>
  <si>
    <t>maharastra</t>
  </si>
  <si>
    <t>mp</t>
  </si>
  <si>
    <t>kerla</t>
  </si>
  <si>
    <t>west bangle</t>
  </si>
  <si>
    <t>tripura</t>
  </si>
  <si>
    <t>punjab</t>
  </si>
  <si>
    <t>gujrat</t>
  </si>
  <si>
    <t>buxar</t>
  </si>
  <si>
    <t>noida</t>
  </si>
  <si>
    <t>bunewashwar</t>
  </si>
  <si>
    <t>mumbai</t>
  </si>
  <si>
    <t>indore</t>
  </si>
  <si>
    <t>kolkata</t>
  </si>
  <si>
    <t>surat</t>
  </si>
  <si>
    <t>patna</t>
  </si>
  <si>
    <t>banaras</t>
  </si>
  <si>
    <t>pune</t>
  </si>
  <si>
    <t>cgjah</t>
  </si>
  <si>
    <t>levnlk</t>
  </si>
  <si>
    <t>vlskv</t>
  </si>
  <si>
    <t>chandigarh</t>
  </si>
  <si>
    <t>jbdvk</t>
  </si>
  <si>
    <t>clothing</t>
  </si>
  <si>
    <t>electronics</t>
  </si>
  <si>
    <t>groceries</t>
  </si>
  <si>
    <t>furniture</t>
  </si>
  <si>
    <t>stationary</t>
  </si>
  <si>
    <t>ID</t>
  </si>
  <si>
    <t>Customer Name</t>
  </si>
  <si>
    <t>Sentiment</t>
  </si>
  <si>
    <t>CSAT Score</t>
  </si>
  <si>
    <t>Call Timestamp</t>
  </si>
  <si>
    <t>Reason</t>
  </si>
  <si>
    <t>Channel</t>
  </si>
  <si>
    <t>Response Time</t>
  </si>
  <si>
    <t>Call Duration (Minutes)</t>
  </si>
  <si>
    <t>Call Center</t>
  </si>
  <si>
    <t>PIS-39858047</t>
  </si>
  <si>
    <t>Frances Gullefant</t>
  </si>
  <si>
    <t>Neutral</t>
  </si>
  <si>
    <t>Billing Question</t>
  </si>
  <si>
    <t>Charleston</t>
  </si>
  <si>
    <t>West Virginia</t>
  </si>
  <si>
    <t>Chatbot</t>
  </si>
  <si>
    <t>Within SLA</t>
  </si>
  <si>
    <t>Chicago/IL</t>
  </si>
  <si>
    <t>ROH-40287216</t>
  </si>
  <si>
    <t>Harcourt Zoanetti</t>
  </si>
  <si>
    <t>Negative</t>
  </si>
  <si>
    <t>Honolulu</t>
  </si>
  <si>
    <t>Hawaii</t>
  </si>
  <si>
    <t>Call-Center</t>
  </si>
  <si>
    <t>Los Angeles/CA</t>
  </si>
  <si>
    <t>NKC-39578431</t>
  </si>
  <si>
    <t>Washington Oxteby</t>
  </si>
  <si>
    <t>Dallas</t>
  </si>
  <si>
    <t>Texas</t>
  </si>
  <si>
    <t>Denver/CO</t>
  </si>
  <si>
    <t>APY-17008648</t>
  </si>
  <si>
    <t>Rafe Duffitt</t>
  </si>
  <si>
    <t>Very Negative</t>
  </si>
  <si>
    <t>Fort Myers</t>
  </si>
  <si>
    <t>Florida</t>
  </si>
  <si>
    <t>Email</t>
  </si>
  <si>
    <t>Below SLA</t>
  </si>
  <si>
    <t>MHK-38443501</t>
  </si>
  <si>
    <t>Tris Bent</t>
  </si>
  <si>
    <t>Positive</t>
  </si>
  <si>
    <t>Tuscaloosa</t>
  </si>
  <si>
    <t>Alabama</t>
  </si>
  <si>
    <t>Web</t>
  </si>
  <si>
    <t>QKL-49133006</t>
  </si>
  <si>
    <t>Kassie Elman</t>
  </si>
  <si>
    <t>South Carolina</t>
  </si>
  <si>
    <t>Baltimore/MD</t>
  </si>
  <si>
    <t>ZPZ-31710059</t>
  </si>
  <si>
    <t>Elbertina Hewins</t>
  </si>
  <si>
    <t>Very Positive</t>
  </si>
  <si>
    <t>Payments</t>
  </si>
  <si>
    <t>Pensacola</t>
  </si>
  <si>
    <t>IJF-13083880</t>
  </si>
  <si>
    <t>Garland Chuney</t>
  </si>
  <si>
    <t>Little Rock</t>
  </si>
  <si>
    <t>Arkansas</t>
  </si>
  <si>
    <t>ZKW-68562847</t>
  </si>
  <si>
    <t>Caroljean Bischop</t>
  </si>
  <si>
    <t>Nashville</t>
  </si>
  <si>
    <t>Tennessee</t>
  </si>
  <si>
    <t>NIL-47926257</t>
  </si>
  <si>
    <t>Delmor McKleod</t>
  </si>
  <si>
    <t>El Paso</t>
  </si>
  <si>
    <t>BPQ-80812775</t>
  </si>
  <si>
    <t>Julee O'Gavin</t>
  </si>
  <si>
    <t>Santa Ana</t>
  </si>
  <si>
    <t>California</t>
  </si>
  <si>
    <t>Above SLA</t>
  </si>
  <si>
    <t>ZOK-34480332</t>
  </si>
  <si>
    <t>Jaye Gribbon</t>
  </si>
  <si>
    <t>Huntington</t>
  </si>
  <si>
    <t>ZMB-79323804</t>
  </si>
  <si>
    <t>Brodie Dobrowski</t>
  </si>
  <si>
    <t>Pittsburgh</t>
  </si>
  <si>
    <t>Pennsylvania</t>
  </si>
  <si>
    <t>YYO-56445305</t>
  </si>
  <si>
    <t>Sibylla Kemet</t>
  </si>
  <si>
    <t>Tucson</t>
  </si>
  <si>
    <t>Arizona</t>
  </si>
  <si>
    <t>JYD-67455825</t>
  </si>
  <si>
    <t>Quintilla Hourston</t>
  </si>
  <si>
    <t>Des Moines</t>
  </si>
  <si>
    <t>Iowa</t>
  </si>
  <si>
    <t>KNO-93249512</t>
  </si>
  <si>
    <t>Maggi Simpson</t>
  </si>
  <si>
    <t>San Francisco</t>
  </si>
  <si>
    <t>VFG-63863025</t>
  </si>
  <si>
    <t>Early Andrassy</t>
  </si>
  <si>
    <t>Lansing</t>
  </si>
  <si>
    <t>Michigan</t>
  </si>
  <si>
    <t>UCT-41608771</t>
  </si>
  <si>
    <t>Ettie Ruoff</t>
  </si>
  <si>
    <t>Washington</t>
  </si>
  <si>
    <t>District of Columbia</t>
  </si>
  <si>
    <t>YLF-83918836</t>
  </si>
  <si>
    <t>Bogey McReath</t>
  </si>
  <si>
    <t>New York City</t>
  </si>
  <si>
    <t>New York</t>
  </si>
  <si>
    <t>QCH-83950486</t>
  </si>
  <si>
    <t>Sephira Philippart</t>
  </si>
  <si>
    <t>Madison</t>
  </si>
  <si>
    <t>Wisconsin</t>
  </si>
  <si>
    <t>PDB-14404239</t>
  </si>
  <si>
    <t>Charles Sandison</t>
  </si>
  <si>
    <t>Fort Pierce</t>
  </si>
  <si>
    <t>LFZ-17229282</t>
  </si>
  <si>
    <t>Zora Keelin</t>
  </si>
  <si>
    <t>Lubbock</t>
  </si>
  <si>
    <t>VKV-67119644</t>
  </si>
  <si>
    <t>Lillis Dewhurst</t>
  </si>
  <si>
    <t>Stockton</t>
  </si>
  <si>
    <t>PBY-32667898</t>
  </si>
  <si>
    <t>Luz Gudgeon</t>
  </si>
  <si>
    <t>Service Outage</t>
  </si>
  <si>
    <t>Corpus Christi</t>
  </si>
  <si>
    <t>EWI-18960031</t>
  </si>
  <si>
    <t>Abigale Morgan</t>
  </si>
  <si>
    <t>Minneapolis</t>
  </si>
  <si>
    <t>Minnesota</t>
  </si>
  <si>
    <t>IYX-48770048</t>
  </si>
  <si>
    <t>Minette Muzzillo</t>
  </si>
  <si>
    <t>Colorado Springs</t>
  </si>
  <si>
    <t>Colorado</t>
  </si>
  <si>
    <t>EVO-87671386</t>
  </si>
  <si>
    <t>Nanon FitzGilbert</t>
  </si>
  <si>
    <t>Abilene</t>
  </si>
  <si>
    <t>ZYX-10467563</t>
  </si>
  <si>
    <t>Ginelle Olver</t>
  </si>
  <si>
    <t>Fort Lauderdale</t>
  </si>
  <si>
    <t>DZU-03236134</t>
  </si>
  <si>
    <t>Tricia Kinnie</t>
  </si>
  <si>
    <t>Shawnee Mission</t>
  </si>
  <si>
    <t>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</si>
</sst>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[$₹-44E]#,##0.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7276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2" borderId="1" xfId="0" applyFill="1" applyBorder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3" borderId="1" xfId="0" applyFill="1" applyBorder="1"/>
    <xf numFmtId="165" fontId="0" fillId="0" borderId="1" xfId="0" applyNumberFormat="1" applyBorder="1"/>
    <xf numFmtId="14" fontId="0" fillId="0" borderId="1" xfId="0" applyNumberFormat="1" applyBorder="1"/>
    <xf numFmtId="165" fontId="0" fillId="0" borderId="0" xfId="0" applyNumberFormat="1"/>
    <xf numFmtId="0" fontId="0" fillId="2" borderId="0" xfId="0" applyFill="1"/>
    <xf numFmtId="0" fontId="2" fillId="4" borderId="2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0" fillId="5" borderId="2" xfId="0" applyFill="1" applyBorder="1"/>
    <xf numFmtId="0" fontId="0" fillId="5" borderId="3" xfId="0" applyFill="1" applyBorder="1"/>
    <xf numFmtId="22" fontId="0" fillId="5" borderId="3" xfId="0" applyNumberFormat="1" applyFill="1" applyBorder="1"/>
    <xf numFmtId="0" fontId="0" fillId="5" borderId="4" xfId="0" applyFill="1" applyBorder="1"/>
    <xf numFmtId="0" fontId="0" fillId="0" borderId="2" xfId="0" applyBorder="1"/>
    <xf numFmtId="0" fontId="0" fillId="0" borderId="3" xfId="0" applyBorder="1"/>
    <xf numFmtId="22" fontId="0" fillId="0" borderId="3" xfId="0" applyNumberFormat="1" applyBorder="1"/>
    <xf numFmtId="0" fontId="0" fillId="0" borderId="4" xfId="0" applyBorder="1"/>
    <xf numFmtId="0" fontId="0" fillId="6" borderId="1" xfId="0" applyFill="1" applyBorder="1"/>
    <xf numFmtId="0" fontId="0" fillId="7" borderId="1" xfId="0" applyFill="1" applyBorder="1"/>
    <xf numFmtId="9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14" fontId="3" fillId="8" borderId="6" xfId="0" applyNumberFormat="1" applyFont="1" applyFill="1" applyBorder="1" applyAlignment="1">
      <alignment horizontal="center" vertical="center" wrapText="1"/>
    </xf>
    <xf numFmtId="0" fontId="0" fillId="0" borderId="0" xfId="0"/>
    <xf numFmtId="0" fontId="3" fillId="8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14" fontId="4" fillId="0" borderId="6" xfId="0" applyNumberFormat="1" applyFont="1" applyBorder="1" applyAlignment="1">
      <alignment vertical="center"/>
    </xf>
    <xf numFmtId="14" fontId="0" fillId="0" borderId="0" xfId="0" applyNumberFormat="1"/>
    <xf numFmtId="0" fontId="3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numFmt numFmtId="166" formatCode="_(\$* #,##0.00_);_(\$* \(#,##0.00\);_(\$* &quot;-&quot;??_);_(@_)"/>
    </dxf>
  </dxfs>
  <tableStyles count="1" defaultTableStyle="TableStyleMedium2" defaultPivotStyle="PivotStyleLight16">
    <tableStyle name="Invisible" pivot="0" table="0" count="0" xr9:uid="{D6E96A8E-53A4-4C94-9764-AB9BBE382B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daf38ef4828d7cd/Documents/data%20analysis%20file.xlsx" TargetMode="External"/><Relationship Id="rId1" Type="http://schemas.openxmlformats.org/officeDocument/2006/relationships/externalLinkPath" Target="https://d.docs.live.net/5daf38ef4828d7cd/Documents/data%20analysis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1"/>
      <sheetName val="pivot"/>
      <sheetName val="Sheet6"/>
      <sheetName val="Dashboard"/>
      <sheetName val="data analysis file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SalesReport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38887.738159722219" createdVersion="3" refreshedVersion="3" minRefreshableVersion="3" recordCount="277" xr:uid="{EBABC066-09CB-43B3-9A78-E17CA3438AB4}">
  <cacheSource type="worksheet">
    <worksheetSource ref="A1:E278" sheet="Source Data" r:id="rId2"/>
  </cacheSource>
  <cacheFields count="6">
    <cacheField name="Product" numFmtId="0">
      <sharedItems count="25">
        <s v="Alice Mutton"/>
        <s v="Aniseed Syrup"/>
        <s v="Boston Crab Meat"/>
        <s v="Camembert Pierrot"/>
        <s v="Chef Anton's Cajun Seasoning"/>
        <s v="Chef Anton's Gumbo Mix"/>
        <s v="Filo Mix"/>
        <s v="Gorgonzola Telino"/>
        <s v="Grandma's Boysenberry Spread"/>
        <s v="Ipoh Coffee"/>
        <s v="Jack's New England Clam Chowder"/>
        <s v="Laughing Lumberjack Lager"/>
        <s v="Longlife Tofu"/>
        <s v="Louisiana Fiery Hot Pepper Sauce"/>
        <s v="Louisiana Hot Spiced Okra"/>
        <s v="Mozzarella di Giovanni"/>
        <s v="Northwoods Cranberry Sauce"/>
        <s v="Ravioli Angelo"/>
        <s v="Sasquatch Ale"/>
        <s v="Sir Rodney's Marmalade"/>
        <s v="Sir Rodney's Scones"/>
        <s v="Steeleye Stout"/>
        <s v="Teatime Chocolate Biscuits"/>
        <s v="Uncle Bob's Organic Dried Pears"/>
        <s v="Veggie-spread"/>
      </sharedItems>
    </cacheField>
    <cacheField name="Customer" numFmtId="0">
      <sharedItems count="78">
        <s v="ANTON"/>
        <s v="BERGS"/>
        <s v="BOLID"/>
        <s v="BOTTM"/>
        <s v="ERNSH"/>
        <s v="GODOS"/>
        <s v="HUNGC"/>
        <s v="PICCO"/>
        <s v="RATTC"/>
        <s v="REGGC"/>
        <s v="SAVEA"/>
        <s v="SEVES"/>
        <s v="WHITC"/>
        <s v="ALFKI"/>
        <s v="LINOD"/>
        <s v="QUICK"/>
        <s v="VAFFE"/>
        <s v="BONAP"/>
        <s v="BSBEV"/>
        <s v="FRANS"/>
        <s v="HILAA"/>
        <s v="LAZYK"/>
        <s v="LEHMS"/>
        <s v="MAGAA"/>
        <s v="OTTIK"/>
        <s v="PERIC"/>
        <s v="QUEEN"/>
        <s v="RANCH"/>
        <s v="TRAIH"/>
        <s v="ANATR"/>
        <s v="AROUT"/>
        <s v="CHOPS"/>
        <s v="FAMIA"/>
        <s v="FRANK"/>
        <s v="FURIB"/>
        <s v="GOURL"/>
        <s v="MEREP"/>
        <s v="RICAR"/>
        <s v="RICSU"/>
        <s v="WARTH"/>
        <s v="WOLZA"/>
        <s v="EASTC"/>
        <s v="FOLKO"/>
        <s v="TRADH"/>
        <s v="THEBI"/>
        <s v="BLONP"/>
        <s v="DUMON"/>
        <s v="LAUGB"/>
        <s v="NORTS"/>
        <s v="OLDWO"/>
        <s v="TOMSP"/>
        <s v="VINET"/>
        <s v="CACTU"/>
        <s v="HANAR"/>
        <s v="HUNGO"/>
        <s v="SUPRD"/>
        <s v="TORTU"/>
        <s v="WANDK"/>
        <s v="KOENE"/>
        <s v="MAISD"/>
        <s v="WELLI"/>
        <s v="WILMK"/>
        <s v="LONEP"/>
        <s v="THECR"/>
        <s v="VICTE"/>
        <s v="FRANR"/>
        <s v="LAMAI"/>
        <s v="CONSH"/>
        <s v="GREAL"/>
        <s v="ISLAT"/>
        <s v="MORGK"/>
        <s v="SIMOB"/>
        <s v="BLAUS"/>
        <s v="FOLIG"/>
        <s v="LILAS"/>
        <s v="OCEAN"/>
        <s v="PRINI"/>
        <s v="QUEDE"/>
      </sharedItems>
    </cacheField>
    <cacheField name="Qtr 1" numFmtId="164">
      <sharedItems containsSemiMixedTypes="0" containsString="0" containsNumber="1" minValue="0" maxValue="2281.5"/>
    </cacheField>
    <cacheField name="Qtr 2" numFmtId="164">
      <sharedItems containsSemiMixedTypes="0" containsString="0" containsNumber="1" minValue="0" maxValue="3159"/>
    </cacheField>
    <cacheField name="Qtr 3" numFmtId="164">
      <sharedItems containsSemiMixedTypes="0" containsString="0" containsNumber="1" minValue="0" maxValue="3900"/>
    </cacheField>
    <cacheField name="Qtr 4" numFmtId="164">
      <sharedItems containsSemiMixedTypes="0" containsString="0" containsNumber="1" minValue="0" maxValue="2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">
  <r>
    <x v="0"/>
    <x v="0"/>
    <n v="0"/>
    <n v="702"/>
    <n v="0"/>
    <n v="0"/>
  </r>
  <r>
    <x v="0"/>
    <x v="1"/>
    <n v="312"/>
    <n v="0"/>
    <n v="0"/>
    <n v="0"/>
  </r>
  <r>
    <x v="0"/>
    <x v="2"/>
    <n v="0"/>
    <n v="0"/>
    <n v="0"/>
    <n v="1170"/>
  </r>
  <r>
    <x v="0"/>
    <x v="3"/>
    <n v="1170"/>
    <n v="0"/>
    <n v="0"/>
    <n v="0"/>
  </r>
  <r>
    <x v="0"/>
    <x v="4"/>
    <n v="1123.2"/>
    <n v="0"/>
    <n v="0"/>
    <n v="2607.15"/>
  </r>
  <r>
    <x v="0"/>
    <x v="5"/>
    <n v="0"/>
    <n v="280.8"/>
    <n v="0"/>
    <n v="0"/>
  </r>
  <r>
    <x v="0"/>
    <x v="6"/>
    <n v="62.4"/>
    <n v="0"/>
    <n v="0"/>
    <n v="0"/>
  </r>
  <r>
    <x v="0"/>
    <x v="7"/>
    <n v="0"/>
    <n v="1560"/>
    <n v="936"/>
    <n v="0"/>
  </r>
  <r>
    <x v="0"/>
    <x v="8"/>
    <n v="0"/>
    <n v="592.79999999999995"/>
    <n v="0"/>
    <n v="0"/>
  </r>
  <r>
    <x v="0"/>
    <x v="9"/>
    <n v="0"/>
    <n v="0"/>
    <n v="0"/>
    <n v="741"/>
  </r>
  <r>
    <x v="0"/>
    <x v="10"/>
    <n v="0"/>
    <n v="0"/>
    <n v="3900"/>
    <n v="789.75"/>
  </r>
  <r>
    <x v="0"/>
    <x v="11"/>
    <n v="0"/>
    <n v="877.5"/>
    <n v="0"/>
    <n v="0"/>
  </r>
  <r>
    <x v="0"/>
    <x v="12"/>
    <n v="0"/>
    <n v="0"/>
    <n v="0"/>
    <n v="780"/>
  </r>
  <r>
    <x v="1"/>
    <x v="13"/>
    <n v="0"/>
    <n v="0"/>
    <n v="0"/>
    <n v="60"/>
  </r>
  <r>
    <x v="1"/>
    <x v="3"/>
    <n v="0"/>
    <n v="0"/>
    <n v="0"/>
    <n v="200"/>
  </r>
  <r>
    <x v="1"/>
    <x v="4"/>
    <n v="0"/>
    <n v="0"/>
    <n v="0"/>
    <n v="180"/>
  </r>
  <r>
    <x v="1"/>
    <x v="14"/>
    <n v="544"/>
    <n v="0"/>
    <n v="0"/>
    <n v="0"/>
  </r>
  <r>
    <x v="1"/>
    <x v="15"/>
    <n v="0"/>
    <n v="600"/>
    <n v="0"/>
    <n v="0"/>
  </r>
  <r>
    <x v="1"/>
    <x v="16"/>
    <n v="0"/>
    <n v="0"/>
    <n v="140"/>
    <n v="0"/>
  </r>
  <r>
    <x v="2"/>
    <x v="0"/>
    <n v="0"/>
    <n v="165.6"/>
    <n v="0"/>
    <n v="0"/>
  </r>
  <r>
    <x v="2"/>
    <x v="1"/>
    <n v="0"/>
    <n v="920"/>
    <n v="0"/>
    <n v="0"/>
  </r>
  <r>
    <x v="2"/>
    <x v="17"/>
    <n v="0"/>
    <n v="248.4"/>
    <n v="524.4"/>
    <n v="0"/>
  </r>
  <r>
    <x v="2"/>
    <x v="3"/>
    <n v="551.25"/>
    <n v="0"/>
    <n v="0"/>
    <n v="0"/>
  </r>
  <r>
    <x v="2"/>
    <x v="18"/>
    <n v="147"/>
    <n v="0"/>
    <n v="0"/>
    <n v="0"/>
  </r>
  <r>
    <x v="2"/>
    <x v="19"/>
    <n v="0"/>
    <n v="0"/>
    <n v="0"/>
    <n v="18.399999999999999"/>
  </r>
  <r>
    <x v="2"/>
    <x v="20"/>
    <n v="0"/>
    <n v="92"/>
    <n v="1104"/>
    <n v="0"/>
  </r>
  <r>
    <x v="2"/>
    <x v="21"/>
    <n v="147"/>
    <n v="0"/>
    <n v="0"/>
    <n v="0"/>
  </r>
  <r>
    <x v="2"/>
    <x v="22"/>
    <n v="0"/>
    <n v="515.20000000000005"/>
    <n v="0"/>
    <n v="0"/>
  </r>
  <r>
    <x v="2"/>
    <x v="23"/>
    <n v="0"/>
    <n v="0"/>
    <n v="0"/>
    <n v="55.2"/>
  </r>
  <r>
    <x v="2"/>
    <x v="24"/>
    <n v="0"/>
    <n v="0"/>
    <n v="368"/>
    <n v="0"/>
  </r>
  <r>
    <x v="2"/>
    <x v="25"/>
    <n v="308.7"/>
    <n v="0"/>
    <n v="0"/>
    <n v="0"/>
  </r>
  <r>
    <x v="2"/>
    <x v="26"/>
    <n v="26.46"/>
    <n v="0"/>
    <n v="419.52"/>
    <n v="110.4"/>
  </r>
  <r>
    <x v="2"/>
    <x v="15"/>
    <n v="0"/>
    <n v="0"/>
    <n v="1223.5999999999999"/>
    <n v="0"/>
  </r>
  <r>
    <x v="2"/>
    <x v="27"/>
    <n v="294"/>
    <n v="0"/>
    <n v="0"/>
    <n v="0"/>
  </r>
  <r>
    <x v="2"/>
    <x v="10"/>
    <n v="0"/>
    <n v="0"/>
    <n v="772.8"/>
    <n v="736"/>
  </r>
  <r>
    <x v="2"/>
    <x v="28"/>
    <n v="0"/>
    <n v="36.799999999999997"/>
    <n v="0"/>
    <n v="0"/>
  </r>
  <r>
    <x v="2"/>
    <x v="16"/>
    <n v="294"/>
    <n v="0"/>
    <n v="0"/>
    <n v="736"/>
  </r>
  <r>
    <x v="3"/>
    <x v="29"/>
    <n v="0"/>
    <n v="0"/>
    <n v="340"/>
    <n v="0"/>
  </r>
  <r>
    <x v="3"/>
    <x v="30"/>
    <n v="0"/>
    <n v="0"/>
    <n v="0"/>
    <n v="510"/>
  </r>
  <r>
    <x v="3"/>
    <x v="1"/>
    <n v="0"/>
    <n v="0"/>
    <n v="680"/>
    <n v="0"/>
  </r>
  <r>
    <x v="3"/>
    <x v="3"/>
    <n v="0"/>
    <n v="0"/>
    <n v="0"/>
    <n v="1700"/>
  </r>
  <r>
    <x v="3"/>
    <x v="31"/>
    <n v="0"/>
    <n v="323"/>
    <n v="0"/>
    <n v="0"/>
  </r>
  <r>
    <x v="3"/>
    <x v="32"/>
    <n v="0"/>
    <n v="346.8"/>
    <n v="0"/>
    <n v="0"/>
  </r>
  <r>
    <x v="3"/>
    <x v="33"/>
    <n v="0"/>
    <n v="0"/>
    <n v="612"/>
    <n v="0"/>
  </r>
  <r>
    <x v="3"/>
    <x v="34"/>
    <n v="544"/>
    <n v="0"/>
    <n v="0"/>
    <n v="0"/>
  </r>
  <r>
    <x v="3"/>
    <x v="35"/>
    <n v="0"/>
    <n v="0"/>
    <n v="0"/>
    <n v="340"/>
  </r>
  <r>
    <x v="3"/>
    <x v="22"/>
    <n v="0"/>
    <n v="892.5"/>
    <n v="0"/>
    <n v="0"/>
  </r>
  <r>
    <x v="3"/>
    <x v="36"/>
    <n v="0"/>
    <n v="0"/>
    <n v="2261"/>
    <n v="0"/>
  </r>
  <r>
    <x v="3"/>
    <x v="24"/>
    <n v="0"/>
    <n v="0"/>
    <n v="1020"/>
    <n v="0"/>
  </r>
  <r>
    <x v="3"/>
    <x v="26"/>
    <n v="0"/>
    <n v="0"/>
    <n v="0"/>
    <n v="510"/>
  </r>
  <r>
    <x v="3"/>
    <x v="15"/>
    <n v="0"/>
    <n v="2427.6"/>
    <n v="1776.5"/>
    <n v="0"/>
  </r>
  <r>
    <x v="3"/>
    <x v="37"/>
    <n v="1088"/>
    <n v="0"/>
    <n v="0"/>
    <n v="0"/>
  </r>
  <r>
    <x v="3"/>
    <x v="38"/>
    <n v="1550.4"/>
    <n v="0"/>
    <n v="0"/>
    <n v="0"/>
  </r>
  <r>
    <x v="3"/>
    <x v="10"/>
    <n v="0"/>
    <n v="0"/>
    <n v="2380"/>
    <n v="0"/>
  </r>
  <r>
    <x v="3"/>
    <x v="39"/>
    <n v="0"/>
    <n v="693.6"/>
    <n v="0"/>
    <n v="0"/>
  </r>
  <r>
    <x v="3"/>
    <x v="40"/>
    <n v="0"/>
    <n v="0"/>
    <n v="510"/>
    <n v="0"/>
  </r>
  <r>
    <x v="4"/>
    <x v="1"/>
    <n v="0"/>
    <n v="0"/>
    <n v="237.6"/>
    <n v="0"/>
  </r>
  <r>
    <x v="4"/>
    <x v="17"/>
    <n v="0"/>
    <n v="935"/>
    <n v="0"/>
    <n v="0"/>
  </r>
  <r>
    <x v="4"/>
    <x v="41"/>
    <n v="0"/>
    <n v="0"/>
    <n v="0"/>
    <n v="550"/>
  </r>
  <r>
    <x v="4"/>
    <x v="42"/>
    <n v="0"/>
    <n v="1045"/>
    <n v="0"/>
    <n v="0"/>
  </r>
  <r>
    <x v="4"/>
    <x v="34"/>
    <n v="225.28"/>
    <n v="0"/>
    <n v="0"/>
    <n v="0"/>
  </r>
  <r>
    <x v="4"/>
    <x v="23"/>
    <n v="0"/>
    <n v="0"/>
    <n v="198"/>
    <n v="0"/>
  </r>
  <r>
    <x v="4"/>
    <x v="26"/>
    <n v="0"/>
    <n v="0"/>
    <n v="0"/>
    <n v="132"/>
  </r>
  <r>
    <x v="4"/>
    <x v="15"/>
    <n v="0"/>
    <n v="990"/>
    <n v="0"/>
    <n v="0"/>
  </r>
  <r>
    <x v="4"/>
    <x v="43"/>
    <n v="0"/>
    <n v="0"/>
    <n v="352"/>
    <n v="0"/>
  </r>
  <r>
    <x v="4"/>
    <x v="39"/>
    <n v="0"/>
    <n v="0"/>
    <n v="550"/>
    <n v="0"/>
  </r>
  <r>
    <x v="5"/>
    <x v="23"/>
    <n v="0"/>
    <n v="0"/>
    <n v="288.22000000000003"/>
    <n v="0"/>
  </r>
  <r>
    <x v="5"/>
    <x v="44"/>
    <n v="0"/>
    <n v="0"/>
    <n v="0"/>
    <n v="85.4"/>
  </r>
  <r>
    <x v="6"/>
    <x v="30"/>
    <n v="0"/>
    <n v="210"/>
    <n v="0"/>
    <n v="56"/>
  </r>
  <r>
    <x v="6"/>
    <x v="1"/>
    <n v="0"/>
    <n v="0"/>
    <n v="0"/>
    <n v="175"/>
  </r>
  <r>
    <x v="6"/>
    <x v="45"/>
    <n v="112"/>
    <n v="0"/>
    <n v="0"/>
    <n v="0"/>
  </r>
  <r>
    <x v="6"/>
    <x v="46"/>
    <n v="0"/>
    <n v="0"/>
    <n v="63"/>
    <n v="0"/>
  </r>
  <r>
    <x v="6"/>
    <x v="32"/>
    <n v="0"/>
    <n v="0"/>
    <n v="0"/>
    <n v="28"/>
  </r>
  <r>
    <x v="6"/>
    <x v="47"/>
    <n v="0"/>
    <n v="0"/>
    <n v="35"/>
    <n v="0"/>
  </r>
  <r>
    <x v="6"/>
    <x v="48"/>
    <n v="0"/>
    <n v="42"/>
    <n v="0"/>
    <n v="0"/>
  </r>
  <r>
    <x v="6"/>
    <x v="49"/>
    <n v="0"/>
    <n v="0"/>
    <n v="168"/>
    <n v="0"/>
  </r>
  <r>
    <x v="6"/>
    <x v="9"/>
    <n v="0"/>
    <n v="0"/>
    <n v="23.8"/>
    <n v="0"/>
  </r>
  <r>
    <x v="6"/>
    <x v="37"/>
    <n v="0"/>
    <n v="490"/>
    <n v="0"/>
    <n v="0"/>
  </r>
  <r>
    <x v="6"/>
    <x v="38"/>
    <n v="0"/>
    <n v="0"/>
    <n v="0"/>
    <n v="420"/>
  </r>
  <r>
    <x v="6"/>
    <x v="50"/>
    <n v="75.599999999999994"/>
    <n v="0"/>
    <n v="0"/>
    <n v="0"/>
  </r>
  <r>
    <x v="6"/>
    <x v="16"/>
    <n v="0"/>
    <n v="0"/>
    <n v="0"/>
    <n v="99.75"/>
  </r>
  <r>
    <x v="6"/>
    <x v="51"/>
    <n v="0"/>
    <n v="0"/>
    <n v="0"/>
    <n v="126"/>
  </r>
  <r>
    <x v="7"/>
    <x v="30"/>
    <n v="0"/>
    <n v="0"/>
    <n v="0"/>
    <n v="625"/>
  </r>
  <r>
    <x v="7"/>
    <x v="45"/>
    <n v="0"/>
    <n v="593.75"/>
    <n v="0"/>
    <n v="0"/>
  </r>
  <r>
    <x v="7"/>
    <x v="17"/>
    <n v="0"/>
    <n v="0"/>
    <n v="0"/>
    <n v="35.619999999999997"/>
  </r>
  <r>
    <x v="7"/>
    <x v="52"/>
    <n v="0"/>
    <n v="0"/>
    <n v="0"/>
    <n v="12.5"/>
  </r>
  <r>
    <x v="7"/>
    <x v="4"/>
    <n v="0"/>
    <n v="0"/>
    <n v="0"/>
    <n v="890"/>
  </r>
  <r>
    <x v="7"/>
    <x v="42"/>
    <n v="0"/>
    <n v="0"/>
    <n v="0"/>
    <n v="18.75"/>
  </r>
  <r>
    <x v="7"/>
    <x v="35"/>
    <n v="140"/>
    <n v="0"/>
    <n v="0"/>
    <n v="0"/>
  </r>
  <r>
    <x v="7"/>
    <x v="53"/>
    <n v="0"/>
    <n v="0"/>
    <n v="0"/>
    <n v="125"/>
  </r>
  <r>
    <x v="7"/>
    <x v="20"/>
    <n v="0"/>
    <n v="0"/>
    <n v="0"/>
    <n v="250"/>
  </r>
  <r>
    <x v="7"/>
    <x v="54"/>
    <n v="0"/>
    <n v="600"/>
    <n v="0"/>
    <n v="0"/>
  </r>
  <r>
    <x v="7"/>
    <x v="22"/>
    <n v="0"/>
    <n v="250"/>
    <n v="0"/>
    <n v="0"/>
  </r>
  <r>
    <x v="7"/>
    <x v="49"/>
    <n v="0"/>
    <n v="0"/>
    <n v="187.5"/>
    <n v="0"/>
  </r>
  <r>
    <x v="7"/>
    <x v="7"/>
    <n v="0"/>
    <n v="0"/>
    <n v="0"/>
    <n v="100"/>
  </r>
  <r>
    <x v="7"/>
    <x v="26"/>
    <n v="0"/>
    <n v="0"/>
    <n v="237.5"/>
    <n v="0"/>
  </r>
  <r>
    <x v="7"/>
    <x v="15"/>
    <n v="0"/>
    <n v="584.37"/>
    <n v="0"/>
    <n v="0"/>
  </r>
  <r>
    <x v="7"/>
    <x v="8"/>
    <n v="0"/>
    <n v="421.25"/>
    <n v="0"/>
    <n v="0"/>
  </r>
  <r>
    <x v="7"/>
    <x v="38"/>
    <n v="0"/>
    <n v="375"/>
    <n v="0"/>
    <n v="0"/>
  </r>
  <r>
    <x v="7"/>
    <x v="10"/>
    <n v="0"/>
    <n v="0"/>
    <n v="0"/>
    <n v="625"/>
  </r>
  <r>
    <x v="7"/>
    <x v="55"/>
    <n v="297.5"/>
    <n v="0"/>
    <n v="0"/>
    <n v="0"/>
  </r>
  <r>
    <x v="7"/>
    <x v="50"/>
    <n v="27"/>
    <n v="0"/>
    <n v="0"/>
    <n v="0"/>
  </r>
  <r>
    <x v="7"/>
    <x v="56"/>
    <n v="0"/>
    <n v="250"/>
    <n v="0"/>
    <n v="0"/>
  </r>
  <r>
    <x v="7"/>
    <x v="43"/>
    <n v="0"/>
    <n v="190"/>
    <n v="0"/>
    <n v="0"/>
  </r>
  <r>
    <x v="7"/>
    <x v="57"/>
    <n v="0"/>
    <n v="0"/>
    <n v="90"/>
    <n v="0"/>
  </r>
  <r>
    <x v="7"/>
    <x v="39"/>
    <n v="0"/>
    <n v="375"/>
    <n v="0"/>
    <n v="0"/>
  </r>
  <r>
    <x v="8"/>
    <x v="35"/>
    <n v="0"/>
    <n v="0"/>
    <n v="0"/>
    <n v="750"/>
  </r>
  <r>
    <x v="8"/>
    <x v="36"/>
    <n v="0"/>
    <n v="0"/>
    <n v="1750"/>
    <n v="0"/>
  </r>
  <r>
    <x v="9"/>
    <x v="0"/>
    <n v="0"/>
    <n v="586.5"/>
    <n v="0"/>
    <n v="0"/>
  </r>
  <r>
    <x v="9"/>
    <x v="1"/>
    <n v="0"/>
    <n v="2760"/>
    <n v="0"/>
    <n v="0"/>
  </r>
  <r>
    <x v="9"/>
    <x v="34"/>
    <n v="110.4"/>
    <n v="0"/>
    <n v="0"/>
    <n v="0"/>
  </r>
  <r>
    <x v="9"/>
    <x v="58"/>
    <n v="552"/>
    <n v="0"/>
    <n v="0"/>
    <n v="0"/>
  </r>
  <r>
    <x v="9"/>
    <x v="59"/>
    <n v="0"/>
    <n v="0"/>
    <n v="0"/>
    <n v="1035"/>
  </r>
  <r>
    <x v="9"/>
    <x v="49"/>
    <n v="0"/>
    <n v="0"/>
    <n v="0"/>
    <n v="1104"/>
  </r>
  <r>
    <x v="9"/>
    <x v="7"/>
    <n v="0"/>
    <n v="1150"/>
    <n v="0"/>
    <n v="0"/>
  </r>
  <r>
    <x v="9"/>
    <x v="15"/>
    <n v="0"/>
    <n v="0"/>
    <n v="0"/>
    <n v="1840"/>
  </r>
  <r>
    <x v="9"/>
    <x v="55"/>
    <n v="736"/>
    <n v="0"/>
    <n v="0"/>
    <n v="0"/>
  </r>
  <r>
    <x v="9"/>
    <x v="60"/>
    <n v="0"/>
    <n v="0"/>
    <n v="920"/>
    <n v="0"/>
  </r>
  <r>
    <x v="9"/>
    <x v="61"/>
    <n v="0"/>
    <n v="0"/>
    <n v="276"/>
    <n v="0"/>
  </r>
  <r>
    <x v="10"/>
    <x v="30"/>
    <n v="0"/>
    <n v="0"/>
    <n v="0"/>
    <n v="135.1"/>
  </r>
  <r>
    <x v="10"/>
    <x v="1"/>
    <n v="231"/>
    <n v="0"/>
    <n v="0"/>
    <n v="96.5"/>
  </r>
  <r>
    <x v="10"/>
    <x v="45"/>
    <n v="0"/>
    <n v="110.01"/>
    <n v="0"/>
    <n v="0"/>
  </r>
  <r>
    <x v="10"/>
    <x v="3"/>
    <n v="154"/>
    <n v="0"/>
    <n v="0"/>
    <n v="0"/>
  </r>
  <r>
    <x v="10"/>
    <x v="52"/>
    <n v="0"/>
    <n v="96.5"/>
    <n v="0"/>
    <n v="0"/>
  </r>
  <r>
    <x v="10"/>
    <x v="32"/>
    <n v="0"/>
    <n v="0"/>
    <n v="0"/>
    <n v="115.8"/>
  </r>
  <r>
    <x v="10"/>
    <x v="33"/>
    <n v="0"/>
    <n v="0"/>
    <n v="0"/>
    <n v="183.35"/>
  </r>
  <r>
    <x v="10"/>
    <x v="35"/>
    <n v="0"/>
    <n v="0"/>
    <n v="38.6"/>
    <n v="0"/>
  </r>
  <r>
    <x v="10"/>
    <x v="54"/>
    <n v="0"/>
    <n v="694.8"/>
    <n v="0"/>
    <n v="0"/>
  </r>
  <r>
    <x v="10"/>
    <x v="47"/>
    <n v="0"/>
    <n v="154"/>
    <n v="0"/>
    <n v="0"/>
  </r>
  <r>
    <x v="10"/>
    <x v="24"/>
    <n v="0"/>
    <n v="82.51"/>
    <n v="0"/>
    <n v="0"/>
  </r>
  <r>
    <x v="10"/>
    <x v="7"/>
    <n v="0"/>
    <n v="0"/>
    <n v="0"/>
    <n v="337.75"/>
  </r>
  <r>
    <x v="10"/>
    <x v="9"/>
    <n v="0"/>
    <n v="0"/>
    <n v="154.4"/>
    <n v="0"/>
  </r>
  <r>
    <x v="10"/>
    <x v="10"/>
    <n v="0"/>
    <n v="0"/>
    <n v="1389.6"/>
    <n v="405.3"/>
  </r>
  <r>
    <x v="10"/>
    <x v="11"/>
    <n v="0"/>
    <n v="52.11"/>
    <n v="0"/>
    <n v="0"/>
  </r>
  <r>
    <x v="10"/>
    <x v="50"/>
    <n v="0"/>
    <n v="135.1"/>
    <n v="0"/>
    <n v="0"/>
  </r>
  <r>
    <x v="10"/>
    <x v="16"/>
    <n v="0"/>
    <n v="0"/>
    <n v="0"/>
    <n v="275.02"/>
  </r>
  <r>
    <x v="10"/>
    <x v="51"/>
    <n v="0"/>
    <n v="0"/>
    <n v="0"/>
    <n v="115.8"/>
  </r>
  <r>
    <x v="11"/>
    <x v="33"/>
    <n v="0"/>
    <n v="0"/>
    <n v="350"/>
    <n v="0"/>
  </r>
  <r>
    <x v="11"/>
    <x v="62"/>
    <n v="0"/>
    <n v="98"/>
    <n v="0"/>
    <n v="0"/>
  </r>
  <r>
    <x v="11"/>
    <x v="25"/>
    <n v="0"/>
    <n v="420"/>
    <n v="0"/>
    <n v="0"/>
  </r>
  <r>
    <x v="11"/>
    <x v="63"/>
    <n v="0"/>
    <n v="0"/>
    <n v="0"/>
    <n v="42"/>
  </r>
  <r>
    <x v="12"/>
    <x v="19"/>
    <n v="0"/>
    <n v="0"/>
    <n v="0"/>
    <n v="50"/>
  </r>
  <r>
    <x v="12"/>
    <x v="20"/>
    <n v="128"/>
    <n v="0"/>
    <n v="0"/>
    <n v="0"/>
  </r>
  <r>
    <x v="12"/>
    <x v="36"/>
    <n v="240"/>
    <n v="0"/>
    <n v="0"/>
    <n v="0"/>
  </r>
  <r>
    <x v="12"/>
    <x v="15"/>
    <n v="120"/>
    <n v="0"/>
    <n v="0"/>
    <n v="0"/>
  </r>
  <r>
    <x v="12"/>
    <x v="64"/>
    <n v="0"/>
    <n v="0"/>
    <n v="0"/>
    <n v="112.5"/>
  </r>
  <r>
    <x v="12"/>
    <x v="39"/>
    <n v="0"/>
    <n v="0"/>
    <n v="0"/>
    <n v="350"/>
  </r>
  <r>
    <x v="13"/>
    <x v="17"/>
    <n v="0"/>
    <n v="0"/>
    <n v="0"/>
    <n v="199.97"/>
  </r>
  <r>
    <x v="13"/>
    <x v="4"/>
    <n v="0"/>
    <n v="820.95"/>
    <n v="0"/>
    <n v="1299.8399999999999"/>
  </r>
  <r>
    <x v="13"/>
    <x v="65"/>
    <n v="0"/>
    <n v="0"/>
    <n v="252.6"/>
    <n v="0"/>
  </r>
  <r>
    <x v="13"/>
    <x v="34"/>
    <n v="0"/>
    <n v="0"/>
    <n v="268.39"/>
    <n v="0"/>
  </r>
  <r>
    <x v="13"/>
    <x v="53"/>
    <n v="0"/>
    <n v="682.02"/>
    <n v="0"/>
    <n v="0"/>
  </r>
  <r>
    <x v="13"/>
    <x v="54"/>
    <n v="0"/>
    <n v="421"/>
    <n v="0"/>
    <n v="842"/>
  </r>
  <r>
    <x v="13"/>
    <x v="66"/>
    <n v="0"/>
    <n v="226.8"/>
    <n v="0"/>
    <n v="0"/>
  </r>
  <r>
    <x v="13"/>
    <x v="14"/>
    <n v="0"/>
    <n v="0"/>
    <n v="442.05"/>
    <n v="0"/>
  </r>
  <r>
    <x v="13"/>
    <x v="24"/>
    <n v="0"/>
    <n v="599.91999999999996"/>
    <n v="0"/>
    <n v="0"/>
  </r>
  <r>
    <x v="13"/>
    <x v="7"/>
    <n v="0"/>
    <n v="0"/>
    <n v="202.08"/>
    <n v="0"/>
  </r>
  <r>
    <x v="13"/>
    <x v="15"/>
    <n v="423.36"/>
    <n v="0"/>
    <n v="0"/>
    <n v="1515.6"/>
  </r>
  <r>
    <x v="13"/>
    <x v="8"/>
    <n v="336"/>
    <n v="0"/>
    <n v="0"/>
    <n v="0"/>
  </r>
  <r>
    <x v="13"/>
    <x v="37"/>
    <n v="588"/>
    <n v="0"/>
    <n v="0"/>
    <n v="0"/>
  </r>
  <r>
    <x v="13"/>
    <x v="38"/>
    <n v="0"/>
    <n v="0"/>
    <n v="210.5"/>
    <n v="0"/>
  </r>
  <r>
    <x v="13"/>
    <x v="64"/>
    <n v="0"/>
    <n v="0"/>
    <n v="0"/>
    <n v="42.1"/>
  </r>
  <r>
    <x v="14"/>
    <x v="0"/>
    <n v="0"/>
    <n v="0"/>
    <n v="68"/>
    <n v="0"/>
  </r>
  <r>
    <x v="14"/>
    <x v="41"/>
    <n v="0"/>
    <n v="408"/>
    <n v="0"/>
    <n v="0"/>
  </r>
  <r>
    <x v="14"/>
    <x v="4"/>
    <n v="816"/>
    <n v="0"/>
    <n v="0"/>
    <n v="0"/>
  </r>
  <r>
    <x v="14"/>
    <x v="42"/>
    <n v="0"/>
    <n v="0"/>
    <n v="0"/>
    <n v="850"/>
  </r>
  <r>
    <x v="14"/>
    <x v="66"/>
    <n v="0"/>
    <n v="122.4"/>
    <n v="0"/>
    <n v="0"/>
  </r>
  <r>
    <x v="14"/>
    <x v="55"/>
    <n v="693.6"/>
    <n v="0"/>
    <n v="0"/>
    <n v="0"/>
  </r>
  <r>
    <x v="15"/>
    <x v="3"/>
    <n v="0"/>
    <n v="0"/>
    <n v="0"/>
    <n v="1218"/>
  </r>
  <r>
    <x v="15"/>
    <x v="18"/>
    <n v="0"/>
    <n v="34.799999999999997"/>
    <n v="0"/>
    <n v="0"/>
  </r>
  <r>
    <x v="15"/>
    <x v="67"/>
    <n v="278"/>
    <n v="0"/>
    <n v="0"/>
    <n v="0"/>
  </r>
  <r>
    <x v="15"/>
    <x v="42"/>
    <n v="0"/>
    <n v="835.2"/>
    <n v="0"/>
    <n v="0"/>
  </r>
  <r>
    <x v="15"/>
    <x v="68"/>
    <n v="0"/>
    <n v="313.2"/>
    <n v="0"/>
    <n v="0"/>
  </r>
  <r>
    <x v="15"/>
    <x v="69"/>
    <n v="0"/>
    <n v="0"/>
    <n v="0"/>
    <n v="348"/>
  </r>
  <r>
    <x v="15"/>
    <x v="22"/>
    <n v="0"/>
    <n v="695"/>
    <n v="0"/>
    <n v="0"/>
  </r>
  <r>
    <x v="15"/>
    <x v="14"/>
    <n v="0"/>
    <n v="0"/>
    <n v="2088"/>
    <n v="0"/>
  </r>
  <r>
    <x v="15"/>
    <x v="23"/>
    <n v="0"/>
    <n v="0"/>
    <n v="0"/>
    <n v="887.4"/>
  </r>
  <r>
    <x v="15"/>
    <x v="59"/>
    <n v="0"/>
    <n v="0"/>
    <n v="522"/>
    <n v="0"/>
  </r>
  <r>
    <x v="15"/>
    <x v="70"/>
    <n v="0"/>
    <n v="1044"/>
    <n v="0"/>
    <n v="0"/>
  </r>
  <r>
    <x v="15"/>
    <x v="15"/>
    <n v="0"/>
    <n v="0"/>
    <n v="0"/>
    <n v="243.6"/>
  </r>
  <r>
    <x v="15"/>
    <x v="38"/>
    <n v="0"/>
    <n v="730.8"/>
    <n v="0"/>
    <n v="0"/>
  </r>
  <r>
    <x v="15"/>
    <x v="10"/>
    <n v="0"/>
    <n v="0"/>
    <n v="417.6"/>
    <n v="0"/>
  </r>
  <r>
    <x v="15"/>
    <x v="71"/>
    <n v="0"/>
    <n v="835.2"/>
    <n v="0"/>
    <n v="0"/>
  </r>
  <r>
    <x v="15"/>
    <x v="64"/>
    <n v="1112"/>
    <n v="0"/>
    <n v="0"/>
    <n v="0"/>
  </r>
  <r>
    <x v="16"/>
    <x v="17"/>
    <n v="0"/>
    <n v="340"/>
    <n v="0"/>
    <n v="0"/>
  </r>
  <r>
    <x v="16"/>
    <x v="35"/>
    <n v="0"/>
    <n v="0"/>
    <n v="0"/>
    <n v="1600"/>
  </r>
  <r>
    <x v="16"/>
    <x v="22"/>
    <n v="0"/>
    <n v="960"/>
    <n v="0"/>
    <n v="0"/>
  </r>
  <r>
    <x v="16"/>
    <x v="26"/>
    <n v="0"/>
    <n v="0"/>
    <n v="0"/>
    <n v="960"/>
  </r>
  <r>
    <x v="16"/>
    <x v="61"/>
    <n v="0"/>
    <n v="0"/>
    <n v="0"/>
    <n v="400"/>
  </r>
  <r>
    <x v="17"/>
    <x v="0"/>
    <n v="0"/>
    <n v="87.75"/>
    <n v="0"/>
    <n v="0"/>
  </r>
  <r>
    <x v="17"/>
    <x v="30"/>
    <n v="0"/>
    <n v="0"/>
    <n v="0"/>
    <n v="780"/>
  </r>
  <r>
    <x v="17"/>
    <x v="72"/>
    <n v="0"/>
    <n v="78"/>
    <n v="0"/>
    <n v="0"/>
  </r>
  <r>
    <x v="17"/>
    <x v="17"/>
    <n v="0"/>
    <n v="0"/>
    <n v="0"/>
    <n v="204.75"/>
  </r>
  <r>
    <x v="17"/>
    <x v="18"/>
    <n v="0"/>
    <n v="117"/>
    <n v="0"/>
    <n v="0"/>
  </r>
  <r>
    <x v="17"/>
    <x v="7"/>
    <n v="0"/>
    <n v="0"/>
    <n v="390"/>
    <n v="0"/>
  </r>
  <r>
    <x v="17"/>
    <x v="50"/>
    <n v="187.2"/>
    <n v="0"/>
    <n v="0"/>
    <n v="0"/>
  </r>
  <r>
    <x v="17"/>
    <x v="39"/>
    <n v="312"/>
    <n v="0"/>
    <n v="0"/>
    <n v="0"/>
  </r>
  <r>
    <x v="18"/>
    <x v="0"/>
    <n v="0"/>
    <n v="560"/>
    <n v="0"/>
    <n v="0"/>
  </r>
  <r>
    <x v="18"/>
    <x v="10"/>
    <n v="0"/>
    <n v="0"/>
    <n v="0"/>
    <n v="554.4"/>
  </r>
  <r>
    <x v="18"/>
    <x v="44"/>
    <n v="0"/>
    <n v="0"/>
    <n v="0"/>
    <n v="140"/>
  </r>
  <r>
    <x v="18"/>
    <x v="50"/>
    <n v="179.2"/>
    <n v="105"/>
    <n v="0"/>
    <n v="0"/>
  </r>
  <r>
    <x v="18"/>
    <x v="16"/>
    <n v="0"/>
    <n v="0"/>
    <n v="0"/>
    <n v="196"/>
  </r>
  <r>
    <x v="18"/>
    <x v="12"/>
    <n v="372.4"/>
    <n v="0"/>
    <n v="0"/>
    <n v="0"/>
  </r>
  <r>
    <x v="19"/>
    <x v="4"/>
    <n v="0"/>
    <n v="3159"/>
    <n v="0"/>
    <n v="0"/>
  </r>
  <r>
    <x v="19"/>
    <x v="6"/>
    <n v="0"/>
    <n v="0"/>
    <n v="1701"/>
    <n v="0"/>
  </r>
  <r>
    <x v="19"/>
    <x v="22"/>
    <n v="0"/>
    <n v="0"/>
    <n v="1360.8"/>
    <n v="0"/>
  </r>
  <r>
    <x v="19"/>
    <x v="11"/>
    <n v="0"/>
    <n v="1093.5"/>
    <n v="0"/>
    <n v="0"/>
  </r>
  <r>
    <x v="20"/>
    <x v="72"/>
    <n v="0"/>
    <n v="0"/>
    <n v="80"/>
    <n v="0"/>
  </r>
  <r>
    <x v="20"/>
    <x v="18"/>
    <n v="112"/>
    <n v="150"/>
    <n v="0"/>
    <n v="0"/>
  </r>
  <r>
    <x v="20"/>
    <x v="31"/>
    <n v="0"/>
    <n v="0"/>
    <n v="0"/>
    <n v="380"/>
  </r>
  <r>
    <x v="20"/>
    <x v="46"/>
    <n v="0"/>
    <n v="0"/>
    <n v="60"/>
    <n v="0"/>
  </r>
  <r>
    <x v="20"/>
    <x v="4"/>
    <n v="400"/>
    <n v="0"/>
    <n v="0"/>
    <n v="0"/>
  </r>
  <r>
    <x v="20"/>
    <x v="73"/>
    <n v="0"/>
    <n v="0"/>
    <n v="0"/>
    <n v="400"/>
  </r>
  <r>
    <x v="20"/>
    <x v="33"/>
    <n v="0"/>
    <n v="0"/>
    <n v="225"/>
    <n v="304"/>
  </r>
  <r>
    <x v="20"/>
    <x v="5"/>
    <n v="0"/>
    <n v="54"/>
    <n v="0"/>
    <n v="0"/>
  </r>
  <r>
    <x v="20"/>
    <x v="68"/>
    <n v="0"/>
    <n v="0"/>
    <n v="108"/>
    <n v="0"/>
  </r>
  <r>
    <x v="20"/>
    <x v="58"/>
    <n v="272"/>
    <n v="0"/>
    <n v="0"/>
    <n v="0"/>
  </r>
  <r>
    <x v="20"/>
    <x v="74"/>
    <n v="240"/>
    <n v="0"/>
    <n v="0"/>
    <n v="0"/>
  </r>
  <r>
    <x v="20"/>
    <x v="14"/>
    <n v="0"/>
    <n v="0"/>
    <n v="0"/>
    <n v="300"/>
  </r>
  <r>
    <x v="20"/>
    <x v="36"/>
    <n v="0"/>
    <n v="0"/>
    <n v="420"/>
    <n v="0"/>
  </r>
  <r>
    <x v="20"/>
    <x v="75"/>
    <n v="96"/>
    <n v="0"/>
    <n v="0"/>
    <n v="0"/>
  </r>
  <r>
    <x v="20"/>
    <x v="76"/>
    <n v="126"/>
    <n v="0"/>
    <n v="0"/>
    <n v="0"/>
  </r>
  <r>
    <x v="20"/>
    <x v="26"/>
    <n v="216"/>
    <n v="0"/>
    <n v="0"/>
    <n v="0"/>
  </r>
  <r>
    <x v="20"/>
    <x v="15"/>
    <n v="0"/>
    <n v="0"/>
    <n v="600"/>
    <n v="0"/>
  </r>
  <r>
    <x v="20"/>
    <x v="27"/>
    <n v="0"/>
    <n v="0"/>
    <n v="0"/>
    <n v="50"/>
  </r>
  <r>
    <x v="20"/>
    <x v="71"/>
    <n v="0"/>
    <n v="0"/>
    <n v="240"/>
    <n v="0"/>
  </r>
  <r>
    <x v="20"/>
    <x v="57"/>
    <n v="0"/>
    <n v="320"/>
    <n v="0"/>
    <n v="0"/>
  </r>
  <r>
    <x v="20"/>
    <x v="12"/>
    <n v="0"/>
    <n v="120"/>
    <n v="0"/>
    <n v="0"/>
  </r>
  <r>
    <x v="21"/>
    <x v="1"/>
    <n v="115.2"/>
    <n v="0"/>
    <n v="0"/>
    <n v="0"/>
  </r>
  <r>
    <x v="21"/>
    <x v="18"/>
    <n v="0"/>
    <n v="360"/>
    <n v="0"/>
    <n v="0"/>
  </r>
  <r>
    <x v="21"/>
    <x v="52"/>
    <n v="0"/>
    <n v="54"/>
    <n v="0"/>
    <n v="0"/>
  </r>
  <r>
    <x v="21"/>
    <x v="41"/>
    <n v="504"/>
    <n v="0"/>
    <n v="0"/>
    <n v="0"/>
  </r>
  <r>
    <x v="21"/>
    <x v="4"/>
    <n v="0"/>
    <n v="0"/>
    <n v="405"/>
    <n v="0"/>
  </r>
  <r>
    <x v="21"/>
    <x v="73"/>
    <n v="0"/>
    <n v="0"/>
    <n v="0"/>
    <n v="270"/>
  </r>
  <r>
    <x v="21"/>
    <x v="33"/>
    <n v="0"/>
    <n v="0"/>
    <n v="486"/>
    <n v="0"/>
  </r>
  <r>
    <x v="21"/>
    <x v="34"/>
    <n v="0"/>
    <n v="306"/>
    <n v="0"/>
    <n v="0"/>
  </r>
  <r>
    <x v="21"/>
    <x v="68"/>
    <n v="0"/>
    <n v="0"/>
    <n v="72"/>
    <n v="0"/>
  </r>
  <r>
    <x v="21"/>
    <x v="14"/>
    <n v="0"/>
    <n v="0"/>
    <n v="0"/>
    <n v="121.5"/>
  </r>
  <r>
    <x v="21"/>
    <x v="36"/>
    <n v="691.2"/>
    <n v="0"/>
    <n v="0"/>
    <n v="0"/>
  </r>
  <r>
    <x v="21"/>
    <x v="77"/>
    <n v="0"/>
    <n v="0"/>
    <n v="360"/>
    <n v="378"/>
  </r>
  <r>
    <x v="21"/>
    <x v="64"/>
    <n v="0"/>
    <n v="540"/>
    <n v="0"/>
    <n v="0"/>
  </r>
  <r>
    <x v="21"/>
    <x v="39"/>
    <n v="0"/>
    <n v="108"/>
    <n v="0"/>
    <n v="0"/>
  </r>
  <r>
    <x v="21"/>
    <x v="12"/>
    <n v="0"/>
    <n v="0"/>
    <n v="0"/>
    <n v="504"/>
  </r>
  <r>
    <x v="22"/>
    <x v="32"/>
    <n v="124.83"/>
    <n v="0"/>
    <n v="0"/>
    <n v="0"/>
  </r>
  <r>
    <x v="22"/>
    <x v="33"/>
    <n v="0"/>
    <n v="0"/>
    <n v="124.2"/>
    <n v="0"/>
  </r>
  <r>
    <x v="22"/>
    <x v="19"/>
    <n v="0"/>
    <n v="0"/>
    <n v="0"/>
    <n v="46"/>
  </r>
  <r>
    <x v="22"/>
    <x v="5"/>
    <n v="0"/>
    <n v="92"/>
    <n v="0"/>
    <n v="0"/>
  </r>
  <r>
    <x v="22"/>
    <x v="68"/>
    <n v="0"/>
    <n v="0"/>
    <n v="248.4"/>
    <n v="0"/>
  </r>
  <r>
    <x v="22"/>
    <x v="69"/>
    <n v="0"/>
    <n v="0"/>
    <n v="46"/>
    <n v="0"/>
  </r>
  <r>
    <x v="22"/>
    <x v="14"/>
    <n v="0"/>
    <n v="0"/>
    <n v="0"/>
    <n v="48.3"/>
  </r>
  <r>
    <x v="22"/>
    <x v="77"/>
    <n v="24.82"/>
    <n v="0"/>
    <n v="276"/>
    <n v="0"/>
  </r>
  <r>
    <x v="22"/>
    <x v="26"/>
    <n v="36.5"/>
    <n v="0"/>
    <n v="0"/>
    <n v="0"/>
  </r>
  <r>
    <x v="22"/>
    <x v="15"/>
    <n v="0"/>
    <n v="0"/>
    <n v="0"/>
    <n v="437"/>
  </r>
  <r>
    <x v="22"/>
    <x v="37"/>
    <n v="292"/>
    <n v="0"/>
    <n v="0"/>
    <n v="0"/>
  </r>
  <r>
    <x v="22"/>
    <x v="10"/>
    <n v="0"/>
    <n v="257.60000000000002"/>
    <n v="0"/>
    <n v="110.4"/>
  </r>
  <r>
    <x v="22"/>
    <x v="55"/>
    <n v="153.30000000000001"/>
    <n v="0"/>
    <n v="0"/>
    <n v="0"/>
  </r>
  <r>
    <x v="22"/>
    <x v="50"/>
    <n v="166.44"/>
    <n v="0"/>
    <n v="0"/>
    <n v="0"/>
  </r>
  <r>
    <x v="22"/>
    <x v="56"/>
    <n v="0"/>
    <n v="0"/>
    <n v="64.400000000000006"/>
    <n v="0"/>
  </r>
  <r>
    <x v="22"/>
    <x v="57"/>
    <n v="0"/>
    <n v="0"/>
    <n v="82.8"/>
    <n v="0"/>
  </r>
  <r>
    <x v="22"/>
    <x v="39"/>
    <n v="146"/>
    <n v="0"/>
    <n v="0"/>
    <n v="0"/>
  </r>
  <r>
    <x v="22"/>
    <x v="60"/>
    <n v="0"/>
    <n v="0"/>
    <n v="0"/>
    <n v="209.76"/>
  </r>
  <r>
    <x v="23"/>
    <x v="17"/>
    <n v="0"/>
    <n v="1275"/>
    <n v="0"/>
    <n v="0"/>
  </r>
  <r>
    <x v="23"/>
    <x v="18"/>
    <n v="720"/>
    <n v="0"/>
    <n v="0"/>
    <n v="0"/>
  </r>
  <r>
    <x v="23"/>
    <x v="73"/>
    <n v="0"/>
    <n v="0"/>
    <n v="1050"/>
    <n v="0"/>
  </r>
  <r>
    <x v="23"/>
    <x v="35"/>
    <n v="0"/>
    <n v="0"/>
    <n v="0"/>
    <n v="76.5"/>
  </r>
  <r>
    <x v="23"/>
    <x v="24"/>
    <n v="0"/>
    <n v="0"/>
    <n v="0"/>
    <n v="1050"/>
  </r>
  <r>
    <x v="23"/>
    <x v="15"/>
    <n v="0"/>
    <n v="0"/>
    <n v="0"/>
    <n v="2700"/>
  </r>
  <r>
    <x v="23"/>
    <x v="10"/>
    <n v="0"/>
    <n v="0"/>
    <n v="1350"/>
    <n v="0"/>
  </r>
  <r>
    <x v="23"/>
    <x v="16"/>
    <n v="0"/>
    <n v="0"/>
    <n v="300"/>
    <n v="0"/>
  </r>
  <r>
    <x v="23"/>
    <x v="64"/>
    <n v="364.8"/>
    <n v="300"/>
    <n v="0"/>
    <n v="0"/>
  </r>
  <r>
    <x v="24"/>
    <x v="13"/>
    <n v="0"/>
    <n v="0"/>
    <n v="0"/>
    <n v="878"/>
  </r>
  <r>
    <x v="24"/>
    <x v="4"/>
    <n v="2281.5"/>
    <n v="0"/>
    <n v="0"/>
    <n v="0"/>
  </r>
  <r>
    <x v="24"/>
    <x v="73"/>
    <n v="0"/>
    <n v="0"/>
    <n v="0"/>
    <n v="1317"/>
  </r>
  <r>
    <x v="24"/>
    <x v="54"/>
    <n v="921.37"/>
    <n v="0"/>
    <n v="0"/>
    <n v="0"/>
  </r>
  <r>
    <x v="24"/>
    <x v="70"/>
    <n v="0"/>
    <n v="263.39999999999998"/>
    <n v="0"/>
    <n v="0"/>
  </r>
  <r>
    <x v="24"/>
    <x v="7"/>
    <n v="0"/>
    <n v="0"/>
    <n v="0"/>
    <n v="395.1"/>
  </r>
  <r>
    <x v="24"/>
    <x v="12"/>
    <n v="0"/>
    <n v="0"/>
    <n v="842.8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F2B683-8276-442E-904E-E290CA387080}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E7:I34" firstHeaderRow="1" firstDataRow="2" firstDataCol="1"/>
  <pivotFields count="6">
    <pivotField axis="axisRow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showAll="0" defaultSubtotal="0"/>
    <pivotField dataField="1" numFmtId="164" showAll="0" defaultSubtotal="0"/>
    <pivotField dataField="1" numFmtId="164" showAll="0" defaultSubtotal="0"/>
    <pivotField dataField="1" numFmtId="164" showAll="0" defaultSubtotal="0"/>
    <pivotField dataField="1" numFmtId="164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>
      <x v="1"/>
    </i>
    <i>
      <x v="2"/>
    </i>
    <i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5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3E5F2-6AC2-4A2D-BA14-590EB4131B92}">
  <dimension ref="A1:I28"/>
  <sheetViews>
    <sheetView workbookViewId="0">
      <selection sqref="A1:D20"/>
    </sheetView>
  </sheetViews>
  <sheetFormatPr defaultRowHeight="14.4" x14ac:dyDescent="0.3"/>
  <cols>
    <col min="2" max="2" width="16.88671875" customWidth="1"/>
    <col min="3" max="3" width="11.88671875" customWidth="1"/>
    <col min="4" max="4" width="13.44140625" customWidth="1"/>
    <col min="8" max="9" width="16.218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134</v>
      </c>
      <c r="E1" s="2" t="s">
        <v>3</v>
      </c>
      <c r="F1" s="2" t="s">
        <v>4</v>
      </c>
      <c r="G1" s="2" t="s">
        <v>5</v>
      </c>
      <c r="H1" s="2" t="s">
        <v>6</v>
      </c>
      <c r="I1" s="10" t="s">
        <v>125</v>
      </c>
    </row>
    <row r="2" spans="1:9" x14ac:dyDescent="0.3">
      <c r="A2" s="1">
        <v>101</v>
      </c>
      <c r="B2" s="1" t="s">
        <v>7</v>
      </c>
      <c r="C2" s="1" t="s">
        <v>127</v>
      </c>
      <c r="D2" s="1" t="str">
        <f>TRIM(C2)</f>
        <v>Mobile</v>
      </c>
      <c r="E2" s="1">
        <v>120000</v>
      </c>
      <c r="F2" s="1">
        <v>2</v>
      </c>
      <c r="G2" s="1">
        <v>4</v>
      </c>
      <c r="H2" s="1" t="s">
        <v>33</v>
      </c>
      <c r="I2">
        <f>LEN(C2)</f>
        <v>10</v>
      </c>
    </row>
    <row r="3" spans="1:9" x14ac:dyDescent="0.3">
      <c r="A3" s="1">
        <v>102</v>
      </c>
      <c r="B3" s="1" t="s">
        <v>8</v>
      </c>
      <c r="C3" s="1" t="s">
        <v>126</v>
      </c>
      <c r="D3" s="1" t="str">
        <f t="shared" ref="D3:D28" si="0">TRIM(C3)</f>
        <v>Mobile</v>
      </c>
      <c r="E3" s="1">
        <v>12345</v>
      </c>
      <c r="F3" s="1">
        <v>3</v>
      </c>
      <c r="G3" s="1">
        <v>3</v>
      </c>
      <c r="H3" s="1" t="s">
        <v>34</v>
      </c>
      <c r="I3">
        <f t="shared" ref="I3:I28" si="1">LEN(C3)</f>
        <v>10</v>
      </c>
    </row>
    <row r="4" spans="1:9" x14ac:dyDescent="0.3">
      <c r="A4" s="1">
        <v>103</v>
      </c>
      <c r="B4" s="1" t="s">
        <v>9</v>
      </c>
      <c r="C4" s="1" t="s">
        <v>129</v>
      </c>
      <c r="D4" s="1" t="str">
        <f t="shared" si="0"/>
        <v>Mobile</v>
      </c>
      <c r="E4" s="1">
        <v>45689</v>
      </c>
      <c r="F4" s="1">
        <v>4</v>
      </c>
      <c r="G4" s="1">
        <v>4</v>
      </c>
      <c r="H4" s="1" t="s">
        <v>35</v>
      </c>
      <c r="I4">
        <f t="shared" si="1"/>
        <v>8</v>
      </c>
    </row>
    <row r="5" spans="1:9" x14ac:dyDescent="0.3">
      <c r="A5" s="1">
        <v>104</v>
      </c>
      <c r="B5" s="1" t="s">
        <v>10</v>
      </c>
      <c r="C5" s="1" t="s">
        <v>130</v>
      </c>
      <c r="D5" s="1" t="str">
        <f t="shared" si="0"/>
        <v>Mobile</v>
      </c>
      <c r="E5" s="1">
        <v>14567</v>
      </c>
      <c r="F5" s="1">
        <v>5</v>
      </c>
      <c r="G5" s="1">
        <v>5</v>
      </c>
      <c r="H5" s="1" t="s">
        <v>36</v>
      </c>
      <c r="I5">
        <f t="shared" si="1"/>
        <v>7</v>
      </c>
    </row>
    <row r="6" spans="1:9" x14ac:dyDescent="0.3">
      <c r="A6" s="1">
        <v>105</v>
      </c>
      <c r="B6" s="1" t="s">
        <v>11</v>
      </c>
      <c r="C6" s="1" t="s">
        <v>127</v>
      </c>
      <c r="D6" s="1" t="str">
        <f t="shared" si="0"/>
        <v>Mobile</v>
      </c>
      <c r="E6" s="1">
        <v>13456</v>
      </c>
      <c r="F6" s="1">
        <v>1</v>
      </c>
      <c r="G6" s="1">
        <v>3</v>
      </c>
      <c r="H6" s="1" t="s">
        <v>33</v>
      </c>
      <c r="I6">
        <f t="shared" si="1"/>
        <v>10</v>
      </c>
    </row>
    <row r="7" spans="1:9" x14ac:dyDescent="0.3">
      <c r="A7" s="1">
        <v>106</v>
      </c>
      <c r="B7" s="1" t="s">
        <v>12</v>
      </c>
      <c r="C7" s="1" t="s">
        <v>128</v>
      </c>
      <c r="D7" s="1" t="str">
        <f t="shared" si="0"/>
        <v>Mobile</v>
      </c>
      <c r="E7" s="1">
        <v>19000</v>
      </c>
      <c r="F7" s="1">
        <v>3</v>
      </c>
      <c r="G7" s="1">
        <v>4</v>
      </c>
      <c r="H7" s="1" t="s">
        <v>34</v>
      </c>
      <c r="I7">
        <f t="shared" si="1"/>
        <v>13</v>
      </c>
    </row>
    <row r="8" spans="1:9" x14ac:dyDescent="0.3">
      <c r="A8" s="1">
        <v>107</v>
      </c>
      <c r="B8" s="1" t="s">
        <v>13</v>
      </c>
      <c r="C8" s="1" t="s">
        <v>29</v>
      </c>
      <c r="D8" s="1" t="str">
        <f t="shared" si="0"/>
        <v>Mobile</v>
      </c>
      <c r="E8" s="1">
        <v>56897</v>
      </c>
      <c r="F8" s="1">
        <v>6</v>
      </c>
      <c r="G8" s="1">
        <v>5</v>
      </c>
      <c r="H8" s="1" t="s">
        <v>35</v>
      </c>
      <c r="I8">
        <f t="shared" si="1"/>
        <v>6</v>
      </c>
    </row>
    <row r="9" spans="1:9" x14ac:dyDescent="0.3">
      <c r="A9" s="1">
        <v>108</v>
      </c>
      <c r="B9" s="1" t="s">
        <v>14</v>
      </c>
      <c r="C9" s="1" t="s">
        <v>127</v>
      </c>
      <c r="D9" s="1" t="str">
        <f t="shared" si="0"/>
        <v>Mobile</v>
      </c>
      <c r="E9" s="1">
        <v>11999</v>
      </c>
      <c r="F9" s="1">
        <v>2</v>
      </c>
      <c r="G9" s="1">
        <v>3</v>
      </c>
      <c r="H9" s="1" t="s">
        <v>36</v>
      </c>
      <c r="I9">
        <f t="shared" si="1"/>
        <v>10</v>
      </c>
    </row>
    <row r="10" spans="1:9" x14ac:dyDescent="0.3">
      <c r="A10" s="1">
        <v>109</v>
      </c>
      <c r="B10" s="1" t="s">
        <v>15</v>
      </c>
      <c r="C10" s="1" t="s">
        <v>127</v>
      </c>
      <c r="D10" s="1" t="str">
        <f t="shared" si="0"/>
        <v>Mobile</v>
      </c>
      <c r="E10" s="1">
        <v>19898</v>
      </c>
      <c r="F10" s="1">
        <v>6</v>
      </c>
      <c r="G10" s="1">
        <v>3</v>
      </c>
      <c r="H10" s="1" t="s">
        <v>33</v>
      </c>
      <c r="I10">
        <f t="shared" si="1"/>
        <v>10</v>
      </c>
    </row>
    <row r="11" spans="1:9" x14ac:dyDescent="0.3">
      <c r="A11" s="1">
        <v>110</v>
      </c>
      <c r="B11" s="1" t="s">
        <v>16</v>
      </c>
      <c r="C11" s="1" t="s">
        <v>29</v>
      </c>
      <c r="D11" s="1" t="str">
        <f t="shared" si="0"/>
        <v>Mobile</v>
      </c>
      <c r="E11" s="1">
        <v>130000</v>
      </c>
      <c r="F11" s="1">
        <v>7</v>
      </c>
      <c r="G11" s="1">
        <v>5</v>
      </c>
      <c r="H11" s="1" t="s">
        <v>34</v>
      </c>
      <c r="I11">
        <f t="shared" si="1"/>
        <v>6</v>
      </c>
    </row>
    <row r="12" spans="1:9" x14ac:dyDescent="0.3">
      <c r="A12" s="1">
        <v>111</v>
      </c>
      <c r="B12" s="1" t="s">
        <v>12</v>
      </c>
      <c r="C12" s="1" t="s">
        <v>29</v>
      </c>
      <c r="D12" s="1" t="str">
        <f t="shared" si="0"/>
        <v>Mobile</v>
      </c>
      <c r="E12" s="1">
        <v>15000</v>
      </c>
      <c r="F12" s="1">
        <v>1</v>
      </c>
      <c r="G12" s="1">
        <v>3</v>
      </c>
      <c r="H12" s="1" t="s">
        <v>35</v>
      </c>
      <c r="I12">
        <f t="shared" si="1"/>
        <v>6</v>
      </c>
    </row>
    <row r="13" spans="1:9" x14ac:dyDescent="0.3">
      <c r="A13" s="1">
        <v>112</v>
      </c>
      <c r="B13" s="1" t="s">
        <v>17</v>
      </c>
      <c r="C13" s="1" t="s">
        <v>29</v>
      </c>
      <c r="D13" s="1" t="str">
        <f t="shared" si="0"/>
        <v>Mobile</v>
      </c>
      <c r="E13" s="1">
        <v>1200</v>
      </c>
      <c r="F13" s="1">
        <v>4</v>
      </c>
      <c r="G13" s="1">
        <v>2</v>
      </c>
      <c r="H13" s="1" t="s">
        <v>36</v>
      </c>
      <c r="I13">
        <f t="shared" si="1"/>
        <v>6</v>
      </c>
    </row>
    <row r="14" spans="1:9" x14ac:dyDescent="0.3">
      <c r="A14" s="1">
        <v>113</v>
      </c>
      <c r="B14" s="1" t="s">
        <v>18</v>
      </c>
      <c r="C14" s="1" t="s">
        <v>29</v>
      </c>
      <c r="D14" s="1" t="str">
        <f t="shared" si="0"/>
        <v>Mobile</v>
      </c>
      <c r="E14" s="1">
        <v>1500</v>
      </c>
      <c r="F14" s="1">
        <v>2</v>
      </c>
      <c r="G14" s="1">
        <v>2</v>
      </c>
      <c r="H14" s="1" t="s">
        <v>33</v>
      </c>
      <c r="I14">
        <f t="shared" si="1"/>
        <v>6</v>
      </c>
    </row>
    <row r="15" spans="1:9" x14ac:dyDescent="0.3">
      <c r="A15" s="1">
        <v>114</v>
      </c>
      <c r="B15" s="1" t="s">
        <v>19</v>
      </c>
      <c r="C15" s="1" t="s">
        <v>29</v>
      </c>
      <c r="D15" s="1" t="str">
        <f t="shared" si="0"/>
        <v>Mobile</v>
      </c>
      <c r="E15" s="1">
        <v>2000</v>
      </c>
      <c r="F15" s="1">
        <v>5</v>
      </c>
      <c r="G15" s="1">
        <v>3</v>
      </c>
      <c r="H15" s="1" t="s">
        <v>33</v>
      </c>
      <c r="I15">
        <f t="shared" si="1"/>
        <v>6</v>
      </c>
    </row>
    <row r="16" spans="1:9" x14ac:dyDescent="0.3">
      <c r="A16" s="1">
        <v>115</v>
      </c>
      <c r="B16" s="1" t="s">
        <v>20</v>
      </c>
      <c r="C16" s="1" t="s">
        <v>131</v>
      </c>
      <c r="D16" s="1" t="str">
        <f t="shared" si="0"/>
        <v>tablet</v>
      </c>
      <c r="E16" s="1">
        <v>20000</v>
      </c>
      <c r="F16" s="1">
        <v>6</v>
      </c>
      <c r="G16" s="1">
        <v>4</v>
      </c>
      <c r="H16" s="1" t="s">
        <v>37</v>
      </c>
      <c r="I16">
        <f t="shared" si="1"/>
        <v>7</v>
      </c>
    </row>
    <row r="17" spans="1:9" x14ac:dyDescent="0.3">
      <c r="A17" s="1">
        <v>116</v>
      </c>
      <c r="B17" s="1" t="s">
        <v>21</v>
      </c>
      <c r="C17" s="1" t="s">
        <v>132</v>
      </c>
      <c r="D17" s="1" t="str">
        <f t="shared" si="0"/>
        <v>earbuds</v>
      </c>
      <c r="E17" s="1">
        <v>1200</v>
      </c>
      <c r="F17" s="1">
        <v>1</v>
      </c>
      <c r="G17" s="1">
        <v>4</v>
      </c>
      <c r="H17" s="1" t="s">
        <v>37</v>
      </c>
      <c r="I17">
        <f t="shared" si="1"/>
        <v>9</v>
      </c>
    </row>
    <row r="18" spans="1:9" x14ac:dyDescent="0.3">
      <c r="A18" s="1">
        <v>117</v>
      </c>
      <c r="B18" s="1" t="s">
        <v>22</v>
      </c>
      <c r="C18" s="1" t="s">
        <v>30</v>
      </c>
      <c r="D18" s="1" t="str">
        <f t="shared" si="0"/>
        <v>earbuds</v>
      </c>
      <c r="E18" s="1">
        <v>700</v>
      </c>
      <c r="F18" s="1">
        <v>7</v>
      </c>
      <c r="G18" s="1">
        <v>3</v>
      </c>
      <c r="H18" s="1" t="s">
        <v>37</v>
      </c>
      <c r="I18">
        <f t="shared" si="1"/>
        <v>7</v>
      </c>
    </row>
    <row r="19" spans="1:9" x14ac:dyDescent="0.3">
      <c r="A19" s="1">
        <v>118</v>
      </c>
      <c r="B19" s="1" t="s">
        <v>23</v>
      </c>
      <c r="C19" s="1" t="s">
        <v>133</v>
      </c>
      <c r="D19" s="1" t="str">
        <f t="shared" si="0"/>
        <v>earbuds</v>
      </c>
      <c r="E19" s="1">
        <v>500</v>
      </c>
      <c r="F19" s="1">
        <v>9</v>
      </c>
      <c r="G19" s="1">
        <v>3</v>
      </c>
      <c r="H19" s="1" t="s">
        <v>37</v>
      </c>
      <c r="I19">
        <f t="shared" si="1"/>
        <v>9</v>
      </c>
    </row>
    <row r="20" spans="1:9" x14ac:dyDescent="0.3">
      <c r="A20" s="1">
        <v>119</v>
      </c>
      <c r="B20" s="1" t="s">
        <v>24</v>
      </c>
      <c r="C20" s="1" t="s">
        <v>31</v>
      </c>
      <c r="D20" s="1" t="str">
        <f t="shared" si="0"/>
        <v>laptop</v>
      </c>
      <c r="E20" s="1">
        <v>85000</v>
      </c>
      <c r="F20" s="1">
        <v>8</v>
      </c>
      <c r="G20" s="1">
        <v>4</v>
      </c>
      <c r="H20" s="1" t="s">
        <v>38</v>
      </c>
      <c r="I20">
        <f t="shared" si="1"/>
        <v>6</v>
      </c>
    </row>
    <row r="21" spans="1:9" x14ac:dyDescent="0.3">
      <c r="A21" s="1">
        <v>120</v>
      </c>
      <c r="B21" s="1" t="s">
        <v>25</v>
      </c>
      <c r="C21" s="1" t="s">
        <v>31</v>
      </c>
      <c r="D21" s="1" t="str">
        <f t="shared" si="0"/>
        <v>laptop</v>
      </c>
      <c r="E21" s="1">
        <v>65000</v>
      </c>
      <c r="F21" s="1">
        <v>1</v>
      </c>
      <c r="G21" s="1">
        <v>5</v>
      </c>
      <c r="H21" s="1" t="s">
        <v>38</v>
      </c>
      <c r="I21">
        <f t="shared" si="1"/>
        <v>6</v>
      </c>
    </row>
    <row r="22" spans="1:9" x14ac:dyDescent="0.3">
      <c r="A22" s="1">
        <v>121</v>
      </c>
      <c r="B22" s="1" t="s">
        <v>26</v>
      </c>
      <c r="C22" s="1" t="s">
        <v>31</v>
      </c>
      <c r="D22" s="1" t="str">
        <f t="shared" si="0"/>
        <v>laptop</v>
      </c>
      <c r="E22" s="1">
        <v>60000</v>
      </c>
      <c r="F22" s="1">
        <v>3</v>
      </c>
      <c r="G22" s="1">
        <v>4</v>
      </c>
      <c r="H22" s="1" t="s">
        <v>38</v>
      </c>
      <c r="I22">
        <f t="shared" si="1"/>
        <v>6</v>
      </c>
    </row>
    <row r="23" spans="1:9" x14ac:dyDescent="0.3">
      <c r="A23" s="1">
        <v>122</v>
      </c>
      <c r="B23" s="1" t="s">
        <v>27</v>
      </c>
      <c r="C23" s="1" t="s">
        <v>31</v>
      </c>
      <c r="D23" s="1" t="str">
        <f t="shared" si="0"/>
        <v>laptop</v>
      </c>
      <c r="E23" s="1">
        <v>90000</v>
      </c>
      <c r="F23" s="1">
        <v>5</v>
      </c>
      <c r="G23" s="1">
        <v>5</v>
      </c>
      <c r="H23" s="1" t="s">
        <v>38</v>
      </c>
      <c r="I23">
        <f t="shared" si="1"/>
        <v>6</v>
      </c>
    </row>
    <row r="24" spans="1:9" x14ac:dyDescent="0.3">
      <c r="A24" s="1">
        <v>123</v>
      </c>
      <c r="B24" s="1" t="s">
        <v>28</v>
      </c>
      <c r="C24" s="1" t="s">
        <v>31</v>
      </c>
      <c r="D24" s="1" t="str">
        <f t="shared" si="0"/>
        <v>laptop</v>
      </c>
      <c r="E24" s="1">
        <v>45000</v>
      </c>
      <c r="F24" s="1">
        <v>2</v>
      </c>
      <c r="G24" s="1">
        <v>3</v>
      </c>
      <c r="H24" s="1" t="s">
        <v>38</v>
      </c>
      <c r="I24">
        <f t="shared" si="1"/>
        <v>6</v>
      </c>
    </row>
    <row r="25" spans="1:9" x14ac:dyDescent="0.3">
      <c r="A25" s="1">
        <v>124</v>
      </c>
      <c r="B25" s="1" t="s">
        <v>32</v>
      </c>
      <c r="C25" s="1" t="s">
        <v>31</v>
      </c>
      <c r="D25" s="1" t="str">
        <f t="shared" si="0"/>
        <v>laptop</v>
      </c>
      <c r="E25" s="1">
        <v>200000</v>
      </c>
      <c r="F25" s="1">
        <v>4</v>
      </c>
      <c r="G25" s="1">
        <v>5</v>
      </c>
      <c r="H25" s="1" t="s">
        <v>38</v>
      </c>
      <c r="I25">
        <f t="shared" si="1"/>
        <v>6</v>
      </c>
    </row>
    <row r="26" spans="1:9" x14ac:dyDescent="0.3">
      <c r="A26" s="1">
        <v>125</v>
      </c>
      <c r="B26" s="1" t="s">
        <v>12</v>
      </c>
      <c r="C26" s="1" t="s">
        <v>29</v>
      </c>
      <c r="D26" s="1" t="str">
        <f t="shared" si="0"/>
        <v>Mobile</v>
      </c>
      <c r="E26" s="1">
        <v>19000</v>
      </c>
      <c r="F26" s="1">
        <v>3</v>
      </c>
      <c r="G26" s="1">
        <v>4</v>
      </c>
      <c r="H26" s="1" t="s">
        <v>34</v>
      </c>
      <c r="I26">
        <f t="shared" si="1"/>
        <v>6</v>
      </c>
    </row>
    <row r="27" spans="1:9" x14ac:dyDescent="0.3">
      <c r="A27" s="1">
        <v>126</v>
      </c>
      <c r="B27" s="1" t="s">
        <v>15</v>
      </c>
      <c r="C27" s="1" t="s">
        <v>29</v>
      </c>
      <c r="D27" s="1" t="str">
        <f t="shared" si="0"/>
        <v>Mobile</v>
      </c>
      <c r="E27" s="1">
        <v>19898</v>
      </c>
      <c r="F27" s="1">
        <v>6</v>
      </c>
      <c r="G27" s="1">
        <v>3</v>
      </c>
      <c r="H27" s="1" t="s">
        <v>33</v>
      </c>
      <c r="I27">
        <f t="shared" si="1"/>
        <v>6</v>
      </c>
    </row>
    <row r="28" spans="1:9" x14ac:dyDescent="0.3">
      <c r="A28" s="1">
        <v>127</v>
      </c>
      <c r="B28" s="1" t="s">
        <v>19</v>
      </c>
      <c r="C28" s="1" t="s">
        <v>29</v>
      </c>
      <c r="D28" s="1" t="str">
        <f t="shared" si="0"/>
        <v>Mobile</v>
      </c>
      <c r="E28" s="1">
        <v>2000</v>
      </c>
      <c r="F28" s="1">
        <v>5</v>
      </c>
      <c r="G28" s="1">
        <v>3</v>
      </c>
      <c r="H28" s="1" t="s">
        <v>33</v>
      </c>
      <c r="I28">
        <f t="shared" si="1"/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9971F-3B97-468C-95E1-BAE551A49EB9}">
  <dimension ref="E7:I34"/>
  <sheetViews>
    <sheetView topLeftCell="A8" workbookViewId="0">
      <selection activeCell="K8" sqref="K8"/>
    </sheetView>
  </sheetViews>
  <sheetFormatPr defaultRowHeight="14.4" x14ac:dyDescent="0.3"/>
  <cols>
    <col min="6" max="6" width="16.88671875" customWidth="1"/>
    <col min="7" max="7" width="16.109375" customWidth="1"/>
    <col min="8" max="8" width="14.5546875" customWidth="1"/>
    <col min="9" max="9" width="15.33203125" customWidth="1"/>
  </cols>
  <sheetData>
    <row r="7" spans="5:9" x14ac:dyDescent="0.3">
      <c r="F7" s="5" t="s">
        <v>39</v>
      </c>
    </row>
    <row r="8" spans="5:9" x14ac:dyDescent="0.3">
      <c r="E8" s="5" t="s">
        <v>40</v>
      </c>
      <c r="F8" s="3" t="s">
        <v>41</v>
      </c>
      <c r="G8" s="3" t="s">
        <v>42</v>
      </c>
      <c r="H8" s="3" t="s">
        <v>43</v>
      </c>
      <c r="I8" s="3" t="s">
        <v>44</v>
      </c>
    </row>
    <row r="9" spans="5:9" x14ac:dyDescent="0.3">
      <c r="E9" s="4" t="s">
        <v>45</v>
      </c>
      <c r="F9" s="3">
        <v>2667.6</v>
      </c>
      <c r="G9" s="3">
        <v>4013.1</v>
      </c>
      <c r="H9" s="3">
        <v>4836</v>
      </c>
      <c r="I9" s="3">
        <v>6087.9</v>
      </c>
    </row>
    <row r="10" spans="5:9" x14ac:dyDescent="0.3">
      <c r="E10" s="4" t="s">
        <v>46</v>
      </c>
      <c r="F10" s="3">
        <v>544</v>
      </c>
      <c r="G10" s="3">
        <v>600</v>
      </c>
      <c r="H10" s="3">
        <v>140</v>
      </c>
      <c r="I10" s="3">
        <v>440</v>
      </c>
    </row>
    <row r="11" spans="5:9" x14ac:dyDescent="0.3">
      <c r="E11" s="4" t="s">
        <v>47</v>
      </c>
      <c r="F11" s="3">
        <v>1768.41</v>
      </c>
      <c r="G11" s="3">
        <v>1978</v>
      </c>
      <c r="H11" s="3">
        <v>4412.32</v>
      </c>
      <c r="I11" s="3">
        <v>1656</v>
      </c>
    </row>
    <row r="12" spans="5:9" x14ac:dyDescent="0.3">
      <c r="E12" s="4" t="s">
        <v>48</v>
      </c>
      <c r="F12" s="3">
        <v>3182.4</v>
      </c>
      <c r="G12" s="3">
        <v>4683.5</v>
      </c>
      <c r="H12" s="3">
        <v>9579.5</v>
      </c>
      <c r="I12" s="3">
        <v>3060</v>
      </c>
    </row>
    <row r="13" spans="5:9" x14ac:dyDescent="0.3">
      <c r="E13" s="4" t="s">
        <v>49</v>
      </c>
      <c r="F13" s="3">
        <v>225.28</v>
      </c>
      <c r="G13" s="3">
        <v>2970</v>
      </c>
      <c r="H13" s="3">
        <v>1337.6</v>
      </c>
      <c r="I13" s="3">
        <v>682</v>
      </c>
    </row>
    <row r="14" spans="5:9" x14ac:dyDescent="0.3">
      <c r="E14" s="4" t="s">
        <v>50</v>
      </c>
      <c r="F14" s="3">
        <v>0</v>
      </c>
      <c r="G14" s="3">
        <v>0</v>
      </c>
      <c r="H14" s="3">
        <v>288.22000000000003</v>
      </c>
      <c r="I14" s="3">
        <v>85.4</v>
      </c>
    </row>
    <row r="15" spans="5:9" x14ac:dyDescent="0.3">
      <c r="E15" s="4" t="s">
        <v>51</v>
      </c>
      <c r="F15" s="3">
        <v>187.6</v>
      </c>
      <c r="G15" s="3">
        <v>742</v>
      </c>
      <c r="H15" s="3">
        <v>289.8</v>
      </c>
      <c r="I15" s="3">
        <v>904.75</v>
      </c>
    </row>
    <row r="16" spans="5:9" x14ac:dyDescent="0.3">
      <c r="E16" s="4" t="s">
        <v>52</v>
      </c>
      <c r="F16" s="3">
        <v>464.5</v>
      </c>
      <c r="G16" s="3">
        <v>3639.37</v>
      </c>
      <c r="H16" s="3">
        <v>515</v>
      </c>
      <c r="I16" s="3">
        <v>2681.87</v>
      </c>
    </row>
    <row r="17" spans="5:9" x14ac:dyDescent="0.3">
      <c r="E17" s="4" t="s">
        <v>53</v>
      </c>
      <c r="F17" s="3">
        <v>0</v>
      </c>
      <c r="G17" s="3">
        <v>0</v>
      </c>
      <c r="H17" s="3">
        <v>1750</v>
      </c>
      <c r="I17" s="3">
        <v>750</v>
      </c>
    </row>
    <row r="18" spans="5:9" x14ac:dyDescent="0.3">
      <c r="E18" s="4" t="s">
        <v>54</v>
      </c>
      <c r="F18" s="3">
        <v>1398.4</v>
      </c>
      <c r="G18" s="3">
        <v>4496.5</v>
      </c>
      <c r="H18" s="3">
        <v>1196</v>
      </c>
      <c r="I18" s="3">
        <v>3979</v>
      </c>
    </row>
    <row r="19" spans="5:9" x14ac:dyDescent="0.3">
      <c r="E19" s="4" t="s">
        <v>55</v>
      </c>
      <c r="F19" s="3">
        <v>385</v>
      </c>
      <c r="G19" s="3">
        <v>1325.03</v>
      </c>
      <c r="H19" s="3">
        <v>1582.6</v>
      </c>
      <c r="I19" s="3">
        <v>1664.62</v>
      </c>
    </row>
    <row r="20" spans="5:9" x14ac:dyDescent="0.3">
      <c r="E20" s="4" t="s">
        <v>56</v>
      </c>
      <c r="F20" s="3">
        <v>0</v>
      </c>
      <c r="G20" s="3">
        <v>518</v>
      </c>
      <c r="H20" s="3">
        <v>350</v>
      </c>
      <c r="I20" s="3">
        <v>42</v>
      </c>
    </row>
    <row r="21" spans="5:9" x14ac:dyDescent="0.3">
      <c r="E21" s="4" t="s">
        <v>57</v>
      </c>
      <c r="F21" s="3">
        <v>488</v>
      </c>
      <c r="G21" s="3">
        <v>0</v>
      </c>
      <c r="H21" s="3">
        <v>0</v>
      </c>
      <c r="I21" s="3">
        <v>512.5</v>
      </c>
    </row>
    <row r="22" spans="5:9" x14ac:dyDescent="0.3">
      <c r="E22" s="4" t="s">
        <v>58</v>
      </c>
      <c r="F22" s="3">
        <v>1347.36</v>
      </c>
      <c r="G22" s="3">
        <v>2750.69</v>
      </c>
      <c r="H22" s="3">
        <v>1375.62</v>
      </c>
      <c r="I22" s="3">
        <v>3899.51</v>
      </c>
    </row>
    <row r="23" spans="5:9" x14ac:dyDescent="0.3">
      <c r="E23" s="4" t="s">
        <v>59</v>
      </c>
      <c r="F23" s="3">
        <v>1509.6</v>
      </c>
      <c r="G23" s="3">
        <v>530.4</v>
      </c>
      <c r="H23" s="3">
        <v>68</v>
      </c>
      <c r="I23" s="3">
        <v>850</v>
      </c>
    </row>
    <row r="24" spans="5:9" x14ac:dyDescent="0.3">
      <c r="E24" s="4" t="s">
        <v>60</v>
      </c>
      <c r="F24" s="3">
        <v>1390</v>
      </c>
      <c r="G24" s="3">
        <v>4488.2</v>
      </c>
      <c r="H24" s="3">
        <v>3027.6</v>
      </c>
      <c r="I24" s="3">
        <v>2697</v>
      </c>
    </row>
    <row r="25" spans="5:9" x14ac:dyDescent="0.3">
      <c r="E25" s="4" t="s">
        <v>61</v>
      </c>
      <c r="F25" s="3">
        <v>0</v>
      </c>
      <c r="G25" s="3">
        <v>1300</v>
      </c>
      <c r="H25" s="3">
        <v>0</v>
      </c>
      <c r="I25" s="3">
        <v>2960</v>
      </c>
    </row>
    <row r="26" spans="5:9" x14ac:dyDescent="0.3">
      <c r="E26" s="4" t="s">
        <v>62</v>
      </c>
      <c r="F26" s="3">
        <v>499.2</v>
      </c>
      <c r="G26" s="3">
        <v>282.75</v>
      </c>
      <c r="H26" s="3">
        <v>390</v>
      </c>
      <c r="I26" s="3">
        <v>984.75</v>
      </c>
    </row>
    <row r="27" spans="5:9" x14ac:dyDescent="0.3">
      <c r="E27" s="4" t="s">
        <v>63</v>
      </c>
      <c r="F27" s="3">
        <v>551.6</v>
      </c>
      <c r="G27" s="3">
        <v>665</v>
      </c>
      <c r="H27" s="3">
        <v>0</v>
      </c>
      <c r="I27" s="3">
        <v>890.4</v>
      </c>
    </row>
    <row r="28" spans="5:9" x14ac:dyDescent="0.3">
      <c r="E28" s="4" t="s">
        <v>64</v>
      </c>
      <c r="F28" s="3">
        <v>0</v>
      </c>
      <c r="G28" s="3">
        <v>4252.5</v>
      </c>
      <c r="H28" s="3">
        <v>3061.8</v>
      </c>
      <c r="I28" s="3">
        <v>0</v>
      </c>
    </row>
    <row r="29" spans="5:9" x14ac:dyDescent="0.3">
      <c r="E29" s="4" t="s">
        <v>65</v>
      </c>
      <c r="F29" s="3">
        <v>1462</v>
      </c>
      <c r="G29" s="3">
        <v>644</v>
      </c>
      <c r="H29" s="3">
        <v>1733</v>
      </c>
      <c r="I29" s="3">
        <v>1434</v>
      </c>
    </row>
    <row r="30" spans="5:9" x14ac:dyDescent="0.3">
      <c r="E30" s="4" t="s">
        <v>66</v>
      </c>
      <c r="F30" s="3">
        <v>1310.4000000000001</v>
      </c>
      <c r="G30" s="3">
        <v>1368</v>
      </c>
      <c r="H30" s="3">
        <v>1323</v>
      </c>
      <c r="I30" s="3">
        <v>1273.5</v>
      </c>
    </row>
    <row r="31" spans="5:9" x14ac:dyDescent="0.3">
      <c r="E31" s="4" t="s">
        <v>67</v>
      </c>
      <c r="F31" s="3">
        <v>943.89</v>
      </c>
      <c r="G31" s="3">
        <v>349.6</v>
      </c>
      <c r="H31" s="3">
        <v>841.8</v>
      </c>
      <c r="I31" s="3">
        <v>851.46</v>
      </c>
    </row>
    <row r="32" spans="5:9" x14ac:dyDescent="0.3">
      <c r="E32" s="4" t="s">
        <v>68</v>
      </c>
      <c r="F32" s="3">
        <v>1084.8</v>
      </c>
      <c r="G32" s="3">
        <v>1575</v>
      </c>
      <c r="H32" s="3">
        <v>2700</v>
      </c>
      <c r="I32" s="3">
        <v>3826.5</v>
      </c>
    </row>
    <row r="33" spans="5:9" x14ac:dyDescent="0.3">
      <c r="E33" s="4" t="s">
        <v>69</v>
      </c>
      <c r="F33" s="3">
        <v>3202.87</v>
      </c>
      <c r="G33" s="3">
        <v>263.39999999999998</v>
      </c>
      <c r="H33" s="3">
        <v>842.88</v>
      </c>
      <c r="I33" s="3">
        <v>2590.1</v>
      </c>
    </row>
    <row r="34" spans="5:9" x14ac:dyDescent="0.3">
      <c r="E34" s="4" t="s">
        <v>70</v>
      </c>
      <c r="F34" s="3">
        <v>24612.91</v>
      </c>
      <c r="G34" s="3">
        <v>43435.040000000001</v>
      </c>
      <c r="H34" s="3">
        <v>41640.74</v>
      </c>
      <c r="I34" s="3">
        <v>44803.26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0DB73-313C-4C68-BA67-4F6419950949}">
  <dimension ref="A3:E26"/>
  <sheetViews>
    <sheetView topLeftCell="A3" workbookViewId="0">
      <selection activeCell="A3" sqref="A3:E26"/>
    </sheetView>
  </sheetViews>
  <sheetFormatPr defaultRowHeight="14.4" x14ac:dyDescent="0.3"/>
  <cols>
    <col min="2" max="2" width="16.88671875" customWidth="1"/>
    <col min="3" max="3" width="16.21875" customWidth="1"/>
    <col min="4" max="4" width="14.77734375" customWidth="1"/>
    <col min="5" max="5" width="14.88671875" customWidth="1"/>
  </cols>
  <sheetData>
    <row r="3" spans="1:5" x14ac:dyDescent="0.3">
      <c r="A3" s="6" t="s">
        <v>71</v>
      </c>
      <c r="B3" s="6" t="s">
        <v>72</v>
      </c>
      <c r="C3" s="6" t="s">
        <v>73</v>
      </c>
      <c r="D3" s="6" t="s">
        <v>74</v>
      </c>
      <c r="E3" s="6" t="s">
        <v>75</v>
      </c>
    </row>
    <row r="4" spans="1:5" x14ac:dyDescent="0.3">
      <c r="A4" s="1" t="s">
        <v>76</v>
      </c>
      <c r="B4" s="1" t="s">
        <v>77</v>
      </c>
      <c r="C4" s="1" t="s">
        <v>78</v>
      </c>
      <c r="D4" s="7">
        <v>12345</v>
      </c>
      <c r="E4" s="8">
        <v>44197</v>
      </c>
    </row>
    <row r="5" spans="1:5" x14ac:dyDescent="0.3">
      <c r="A5" s="1" t="s">
        <v>79</v>
      </c>
      <c r="B5" s="1" t="s">
        <v>80</v>
      </c>
      <c r="C5" s="1" t="s">
        <v>81</v>
      </c>
      <c r="D5" s="7">
        <v>19078</v>
      </c>
      <c r="E5" s="8">
        <v>34285</v>
      </c>
    </row>
    <row r="6" spans="1:5" x14ac:dyDescent="0.3">
      <c r="A6" s="1" t="s">
        <v>82</v>
      </c>
      <c r="B6" s="1" t="s">
        <v>83</v>
      </c>
      <c r="C6" s="1" t="s">
        <v>84</v>
      </c>
      <c r="D6" s="7">
        <v>908765</v>
      </c>
      <c r="E6" s="8">
        <v>36285</v>
      </c>
    </row>
    <row r="7" spans="1:5" x14ac:dyDescent="0.3">
      <c r="A7" s="1" t="s">
        <v>85</v>
      </c>
      <c r="B7" s="1" t="s">
        <v>86</v>
      </c>
      <c r="C7" s="1" t="s">
        <v>81</v>
      </c>
      <c r="D7" s="7">
        <v>4567211</v>
      </c>
      <c r="E7" s="8">
        <v>37112</v>
      </c>
    </row>
    <row r="8" spans="1:5" x14ac:dyDescent="0.3">
      <c r="A8" s="1" t="s">
        <v>87</v>
      </c>
      <c r="B8" s="1" t="s">
        <v>88</v>
      </c>
      <c r="C8" s="1" t="s">
        <v>78</v>
      </c>
      <c r="D8" s="7">
        <v>894567</v>
      </c>
      <c r="E8" s="8">
        <v>44197</v>
      </c>
    </row>
    <row r="9" spans="1:5" x14ac:dyDescent="0.3">
      <c r="A9" s="1" t="s">
        <v>89</v>
      </c>
      <c r="B9" s="1" t="s">
        <v>90</v>
      </c>
      <c r="C9" s="1" t="s">
        <v>81</v>
      </c>
      <c r="D9" s="7">
        <v>34521</v>
      </c>
      <c r="E9" s="8">
        <v>34285</v>
      </c>
    </row>
    <row r="10" spans="1:5" x14ac:dyDescent="0.3">
      <c r="A10" s="1" t="s">
        <v>91</v>
      </c>
      <c r="B10" s="1" t="s">
        <v>92</v>
      </c>
      <c r="C10" s="1" t="s">
        <v>84</v>
      </c>
      <c r="D10" s="7">
        <v>1637643.5</v>
      </c>
      <c r="E10" s="8">
        <v>36285</v>
      </c>
    </row>
    <row r="11" spans="1:5" x14ac:dyDescent="0.3">
      <c r="A11" s="1" t="s">
        <v>93</v>
      </c>
      <c r="B11" s="1" t="s">
        <v>94</v>
      </c>
      <c r="C11" s="1" t="s">
        <v>78</v>
      </c>
      <c r="D11" s="7">
        <v>1822394.41666667</v>
      </c>
      <c r="E11" s="8">
        <v>35344</v>
      </c>
    </row>
    <row r="12" spans="1:5" x14ac:dyDescent="0.3">
      <c r="A12" s="1" t="s">
        <v>95</v>
      </c>
      <c r="B12" s="1" t="s">
        <v>96</v>
      </c>
      <c r="C12" s="1" t="s">
        <v>81</v>
      </c>
      <c r="D12" s="7">
        <v>2007145.33333334</v>
      </c>
      <c r="E12" s="8">
        <v>44384</v>
      </c>
    </row>
    <row r="13" spans="1:5" x14ac:dyDescent="0.3">
      <c r="A13" s="1" t="s">
        <v>97</v>
      </c>
      <c r="B13" s="1" t="s">
        <v>98</v>
      </c>
      <c r="C13" s="1" t="s">
        <v>81</v>
      </c>
      <c r="D13" s="7">
        <v>2191896.25</v>
      </c>
      <c r="E13" s="8">
        <v>37112</v>
      </c>
    </row>
    <row r="14" spans="1:5" x14ac:dyDescent="0.3">
      <c r="A14" s="1" t="s">
        <v>99</v>
      </c>
      <c r="B14" s="1" t="s">
        <v>100</v>
      </c>
      <c r="C14" s="1" t="s">
        <v>78</v>
      </c>
      <c r="D14" s="7">
        <v>2376647.1666666698</v>
      </c>
      <c r="E14" s="8">
        <v>44197</v>
      </c>
    </row>
    <row r="15" spans="1:5" x14ac:dyDescent="0.3">
      <c r="A15" s="1" t="s">
        <v>101</v>
      </c>
      <c r="B15" s="1" t="s">
        <v>102</v>
      </c>
      <c r="C15" s="1" t="s">
        <v>81</v>
      </c>
      <c r="D15" s="7">
        <v>2561398.08333334</v>
      </c>
      <c r="E15" s="8">
        <v>34285</v>
      </c>
    </row>
    <row r="16" spans="1:5" x14ac:dyDescent="0.3">
      <c r="A16" s="1" t="s">
        <v>103</v>
      </c>
      <c r="B16" s="1" t="s">
        <v>104</v>
      </c>
      <c r="C16" s="1" t="s">
        <v>84</v>
      </c>
      <c r="D16" s="7">
        <v>2746149</v>
      </c>
      <c r="E16" s="8">
        <v>36285</v>
      </c>
    </row>
    <row r="17" spans="1:5" x14ac:dyDescent="0.3">
      <c r="A17" s="1" t="s">
        <v>105</v>
      </c>
      <c r="B17" s="1" t="s">
        <v>106</v>
      </c>
      <c r="C17" s="1" t="s">
        <v>78</v>
      </c>
      <c r="D17" s="7">
        <v>2930899.9166666698</v>
      </c>
      <c r="E17" s="8">
        <v>35344</v>
      </c>
    </row>
    <row r="18" spans="1:5" x14ac:dyDescent="0.3">
      <c r="A18" s="1" t="s">
        <v>107</v>
      </c>
      <c r="B18" s="1" t="s">
        <v>108</v>
      </c>
      <c r="C18" s="1" t="s">
        <v>81</v>
      </c>
      <c r="D18" s="7">
        <v>3115650.83333334</v>
      </c>
      <c r="E18" s="8">
        <v>44384</v>
      </c>
    </row>
    <row r="19" spans="1:5" x14ac:dyDescent="0.3">
      <c r="A19" s="1" t="s">
        <v>109</v>
      </c>
      <c r="B19" s="1" t="s">
        <v>110</v>
      </c>
      <c r="C19" s="1" t="s">
        <v>81</v>
      </c>
      <c r="D19" s="7">
        <v>3300401.75</v>
      </c>
      <c r="E19" s="8">
        <v>37112</v>
      </c>
    </row>
    <row r="20" spans="1:5" x14ac:dyDescent="0.3">
      <c r="A20" s="1" t="s">
        <v>111</v>
      </c>
      <c r="B20" s="1" t="s">
        <v>112</v>
      </c>
      <c r="C20" s="1" t="s">
        <v>78</v>
      </c>
      <c r="D20" s="7">
        <v>3485152.6666666698</v>
      </c>
      <c r="E20" s="8">
        <v>44197</v>
      </c>
    </row>
    <row r="21" spans="1:5" x14ac:dyDescent="0.3">
      <c r="A21" s="1" t="s">
        <v>113</v>
      </c>
      <c r="B21" s="1" t="s">
        <v>114</v>
      </c>
      <c r="C21" s="1" t="s">
        <v>81</v>
      </c>
      <c r="D21" s="7">
        <v>3669903.58333334</v>
      </c>
      <c r="E21" s="8">
        <v>34285</v>
      </c>
    </row>
    <row r="22" spans="1:5" x14ac:dyDescent="0.3">
      <c r="A22" s="1" t="s">
        <v>115</v>
      </c>
      <c r="B22" s="1" t="s">
        <v>116</v>
      </c>
      <c r="C22" s="1" t="s">
        <v>84</v>
      </c>
      <c r="D22" s="7">
        <v>3854654.5</v>
      </c>
      <c r="E22" s="8">
        <v>36285</v>
      </c>
    </row>
    <row r="23" spans="1:5" x14ac:dyDescent="0.3">
      <c r="A23" t="s">
        <v>117</v>
      </c>
      <c r="B23" t="s">
        <v>121</v>
      </c>
      <c r="C23" t="s">
        <v>81</v>
      </c>
      <c r="D23" s="9">
        <v>12345</v>
      </c>
      <c r="E23" s="8">
        <v>35344</v>
      </c>
    </row>
    <row r="24" spans="1:5" x14ac:dyDescent="0.3">
      <c r="A24" t="s">
        <v>118</v>
      </c>
      <c r="B24" t="s">
        <v>122</v>
      </c>
      <c r="C24" t="s">
        <v>84</v>
      </c>
      <c r="D24" s="9">
        <v>67894</v>
      </c>
      <c r="E24" s="8">
        <v>44384</v>
      </c>
    </row>
    <row r="25" spans="1:5" x14ac:dyDescent="0.3">
      <c r="A25" t="s">
        <v>119</v>
      </c>
      <c r="B25" t="s">
        <v>123</v>
      </c>
      <c r="C25" t="s">
        <v>78</v>
      </c>
      <c r="D25" s="9">
        <v>895634</v>
      </c>
      <c r="E25" s="8">
        <v>37112</v>
      </c>
    </row>
    <row r="26" spans="1:5" x14ac:dyDescent="0.3">
      <c r="A26" t="s">
        <v>120</v>
      </c>
      <c r="B26" t="s">
        <v>124</v>
      </c>
      <c r="C26" t="s">
        <v>84</v>
      </c>
      <c r="D26">
        <v>45231</v>
      </c>
      <c r="E26" s="8">
        <v>44197</v>
      </c>
    </row>
  </sheetData>
  <phoneticPr fontId="1" type="noConversion"/>
  <conditionalFormatting sqref="A4:E22 D23:D25 A23:C26">
    <cfRule type="expression" dxfId="4" priority="2">
      <formula>$C4="Sales"</formula>
    </cfRule>
  </conditionalFormatting>
  <conditionalFormatting sqref="C4:C26">
    <cfRule type="containsText" dxfId="3" priority="3" operator="containsText" text="Finance">
      <formula>NOT(ISERROR(SEARCH("Finance",C4)))</formula>
    </cfRule>
  </conditionalFormatting>
  <conditionalFormatting sqref="E23:E26">
    <cfRule type="expression" dxfId="2" priority="1">
      <formula>$C23="Sales"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E8E27-3BC7-492E-884E-27152C026240}">
  <dimension ref="A1:L25"/>
  <sheetViews>
    <sheetView workbookViewId="0">
      <selection activeCell="F2" sqref="F2"/>
    </sheetView>
  </sheetViews>
  <sheetFormatPr defaultRowHeight="14.4" x14ac:dyDescent="0.3"/>
  <cols>
    <col min="2" max="2" width="11.88671875" customWidth="1"/>
    <col min="3" max="3" width="13.109375" customWidth="1"/>
    <col min="4" max="4" width="19.88671875" customWidth="1"/>
    <col min="5" max="5" width="21.21875" customWidth="1"/>
    <col min="6" max="6" width="16.6640625" customWidth="1"/>
    <col min="7" max="7" width="17.88671875" customWidth="1"/>
    <col min="11" max="11" width="13.21875" customWidth="1"/>
  </cols>
  <sheetData>
    <row r="1" spans="1:12" x14ac:dyDescent="0.3">
      <c r="A1" s="6" t="s">
        <v>71</v>
      </c>
      <c r="B1" s="6" t="s">
        <v>72</v>
      </c>
      <c r="C1" s="6" t="s">
        <v>73</v>
      </c>
      <c r="D1" s="6" t="s">
        <v>223</v>
      </c>
      <c r="E1" s="6" t="s">
        <v>74</v>
      </c>
      <c r="F1" s="6" t="s">
        <v>228</v>
      </c>
      <c r="G1" s="6" t="s">
        <v>229</v>
      </c>
    </row>
    <row r="2" spans="1:12" x14ac:dyDescent="0.3">
      <c r="A2" s="1" t="s">
        <v>76</v>
      </c>
      <c r="B2" s="1" t="s">
        <v>77</v>
      </c>
      <c r="C2" s="1" t="s">
        <v>78</v>
      </c>
      <c r="D2" s="1">
        <v>6</v>
      </c>
      <c r="E2" s="7">
        <v>12345</v>
      </c>
      <c r="F2" s="1" t="str">
        <f>IF(AND(C2="Finance",D2&gt;=5),"yes","no")</f>
        <v>yes</v>
      </c>
      <c r="G2" s="1" t="str">
        <f>IF(OR(C2="finance",D2&gt;=5),"yes","no")</f>
        <v>yes</v>
      </c>
    </row>
    <row r="3" spans="1:12" x14ac:dyDescent="0.3">
      <c r="A3" s="1" t="s">
        <v>79</v>
      </c>
      <c r="B3" s="1" t="s">
        <v>80</v>
      </c>
      <c r="C3" s="1" t="s">
        <v>81</v>
      </c>
      <c r="D3" s="1">
        <v>3</v>
      </c>
      <c r="E3" s="7">
        <v>19078</v>
      </c>
      <c r="F3" s="1" t="str">
        <f t="shared" ref="F3:F24" si="0">IF(AND(C3="Finance",D3&gt;=5),"yes","no")</f>
        <v>no</v>
      </c>
      <c r="G3" s="1" t="str">
        <f t="shared" ref="G3:G24" si="1">IF(OR(C3="finance",D3&gt;=5),"yes","no")</f>
        <v>no</v>
      </c>
    </row>
    <row r="4" spans="1:12" x14ac:dyDescent="0.3">
      <c r="A4" s="1" t="s">
        <v>82</v>
      </c>
      <c r="B4" s="1" t="s">
        <v>83</v>
      </c>
      <c r="C4" s="1" t="s">
        <v>84</v>
      </c>
      <c r="D4" s="1">
        <v>5</v>
      </c>
      <c r="E4" s="7">
        <v>908765</v>
      </c>
      <c r="F4" s="1" t="str">
        <f t="shared" si="0"/>
        <v>no</v>
      </c>
      <c r="G4" s="1" t="str">
        <f t="shared" si="1"/>
        <v>yes</v>
      </c>
      <c r="J4" s="25" t="s">
        <v>224</v>
      </c>
      <c r="K4" s="25"/>
      <c r="L4" s="2" t="s">
        <v>222</v>
      </c>
    </row>
    <row r="5" spans="1:12" x14ac:dyDescent="0.3">
      <c r="A5" s="1" t="s">
        <v>85</v>
      </c>
      <c r="B5" s="1" t="s">
        <v>86</v>
      </c>
      <c r="C5" s="1" t="s">
        <v>81</v>
      </c>
      <c r="D5" s="1">
        <v>1</v>
      </c>
      <c r="E5" s="7">
        <v>4567211</v>
      </c>
      <c r="F5" s="1" t="str">
        <f t="shared" si="0"/>
        <v>no</v>
      </c>
      <c r="G5" s="1" t="str">
        <f t="shared" si="1"/>
        <v>no</v>
      </c>
      <c r="J5" s="1" t="s">
        <v>78</v>
      </c>
      <c r="K5" s="1" t="s">
        <v>225</v>
      </c>
      <c r="L5" s="1" t="s">
        <v>226</v>
      </c>
    </row>
    <row r="6" spans="1:12" x14ac:dyDescent="0.3">
      <c r="A6" s="1" t="s">
        <v>87</v>
      </c>
      <c r="B6" s="1" t="s">
        <v>88</v>
      </c>
      <c r="C6" s="1" t="s">
        <v>78</v>
      </c>
      <c r="D6" s="1">
        <v>2</v>
      </c>
      <c r="E6" s="7">
        <v>894567</v>
      </c>
      <c r="F6" s="1" t="str">
        <f t="shared" si="0"/>
        <v>no</v>
      </c>
      <c r="G6" s="1" t="str">
        <f t="shared" si="1"/>
        <v>yes</v>
      </c>
    </row>
    <row r="7" spans="1:12" x14ac:dyDescent="0.3">
      <c r="A7" s="1" t="s">
        <v>89</v>
      </c>
      <c r="B7" s="1" t="s">
        <v>90</v>
      </c>
      <c r="C7" s="1" t="s">
        <v>81</v>
      </c>
      <c r="D7" s="1">
        <v>4</v>
      </c>
      <c r="E7" s="7">
        <v>34521</v>
      </c>
      <c r="F7" s="1" t="str">
        <f t="shared" si="0"/>
        <v>no</v>
      </c>
      <c r="G7" s="1" t="str">
        <f t="shared" si="1"/>
        <v>no</v>
      </c>
    </row>
    <row r="8" spans="1:12" x14ac:dyDescent="0.3">
      <c r="A8" s="1" t="s">
        <v>91</v>
      </c>
      <c r="B8" s="1" t="s">
        <v>92</v>
      </c>
      <c r="C8" s="1" t="s">
        <v>84</v>
      </c>
      <c r="D8" s="1">
        <v>3</v>
      </c>
      <c r="E8" s="7">
        <v>1637643.5</v>
      </c>
      <c r="F8" s="1" t="str">
        <f t="shared" si="0"/>
        <v>no</v>
      </c>
      <c r="G8" s="1" t="str">
        <f t="shared" si="1"/>
        <v>no</v>
      </c>
      <c r="J8" s="25" t="s">
        <v>227</v>
      </c>
      <c r="K8" s="25"/>
      <c r="L8" s="2" t="s">
        <v>222</v>
      </c>
    </row>
    <row r="9" spans="1:12" x14ac:dyDescent="0.3">
      <c r="A9" s="1" t="s">
        <v>93</v>
      </c>
      <c r="B9" s="1" t="s">
        <v>94</v>
      </c>
      <c r="C9" s="1" t="s">
        <v>78</v>
      </c>
      <c r="D9" s="1">
        <v>8</v>
      </c>
      <c r="E9" s="7">
        <v>1822394.41666667</v>
      </c>
      <c r="F9" s="1" t="str">
        <f t="shared" si="0"/>
        <v>yes</v>
      </c>
      <c r="G9" s="1" t="str">
        <f t="shared" si="1"/>
        <v>yes</v>
      </c>
      <c r="J9" s="1" t="s">
        <v>78</v>
      </c>
      <c r="K9" s="1" t="s">
        <v>225</v>
      </c>
      <c r="L9" s="1" t="s">
        <v>226</v>
      </c>
    </row>
    <row r="10" spans="1:12" x14ac:dyDescent="0.3">
      <c r="A10" s="1" t="s">
        <v>95</v>
      </c>
      <c r="B10" s="1" t="s">
        <v>96</v>
      </c>
      <c r="C10" s="1" t="s">
        <v>81</v>
      </c>
      <c r="D10" s="1">
        <v>2</v>
      </c>
      <c r="E10" s="7">
        <v>2007145.33333334</v>
      </c>
      <c r="F10" s="1" t="str">
        <f t="shared" si="0"/>
        <v>no</v>
      </c>
      <c r="G10" s="1" t="str">
        <f t="shared" si="1"/>
        <v>no</v>
      </c>
    </row>
    <row r="11" spans="1:12" x14ac:dyDescent="0.3">
      <c r="A11" s="1" t="s">
        <v>97</v>
      </c>
      <c r="B11" s="1" t="s">
        <v>98</v>
      </c>
      <c r="C11" s="1" t="s">
        <v>81</v>
      </c>
      <c r="D11" s="1">
        <v>17</v>
      </c>
      <c r="E11" s="7">
        <v>2191896.25</v>
      </c>
      <c r="F11" s="1" t="str">
        <f t="shared" si="0"/>
        <v>no</v>
      </c>
      <c r="G11" s="1" t="str">
        <f t="shared" si="1"/>
        <v>yes</v>
      </c>
    </row>
    <row r="12" spans="1:12" x14ac:dyDescent="0.3">
      <c r="A12" s="1" t="s">
        <v>99</v>
      </c>
      <c r="B12" s="1" t="s">
        <v>100</v>
      </c>
      <c r="C12" s="1" t="s">
        <v>78</v>
      </c>
      <c r="D12" s="1">
        <v>12</v>
      </c>
      <c r="E12" s="7">
        <v>2376647.1666666698</v>
      </c>
      <c r="F12" s="1" t="str">
        <f t="shared" si="0"/>
        <v>yes</v>
      </c>
      <c r="G12" s="1" t="str">
        <f t="shared" si="1"/>
        <v>yes</v>
      </c>
    </row>
    <row r="13" spans="1:12" x14ac:dyDescent="0.3">
      <c r="A13" s="1" t="s">
        <v>101</v>
      </c>
      <c r="B13" s="1" t="s">
        <v>102</v>
      </c>
      <c r="C13" s="1" t="s">
        <v>81</v>
      </c>
      <c r="D13" s="1">
        <v>1</v>
      </c>
      <c r="E13" s="7">
        <v>2561398.08333334</v>
      </c>
      <c r="F13" s="1" t="str">
        <f t="shared" si="0"/>
        <v>no</v>
      </c>
      <c r="G13" s="1" t="str">
        <f t="shared" si="1"/>
        <v>no</v>
      </c>
    </row>
    <row r="14" spans="1:12" x14ac:dyDescent="0.3">
      <c r="A14" s="1" t="s">
        <v>103</v>
      </c>
      <c r="B14" s="1" t="s">
        <v>104</v>
      </c>
      <c r="C14" s="1" t="s">
        <v>84</v>
      </c>
      <c r="D14" s="1">
        <v>3</v>
      </c>
      <c r="E14" s="7">
        <v>2746149</v>
      </c>
      <c r="F14" s="1" t="str">
        <f t="shared" si="0"/>
        <v>no</v>
      </c>
      <c r="G14" s="1" t="str">
        <f t="shared" si="1"/>
        <v>no</v>
      </c>
    </row>
    <row r="15" spans="1:12" x14ac:dyDescent="0.3">
      <c r="A15" s="1" t="s">
        <v>105</v>
      </c>
      <c r="B15" s="1" t="s">
        <v>106</v>
      </c>
      <c r="C15" s="1" t="s">
        <v>78</v>
      </c>
      <c r="D15" s="1">
        <v>6</v>
      </c>
      <c r="E15" s="7">
        <v>2930899.9166666698</v>
      </c>
      <c r="F15" s="1" t="str">
        <f t="shared" si="0"/>
        <v>yes</v>
      </c>
      <c r="G15" s="1" t="str">
        <f t="shared" si="1"/>
        <v>yes</v>
      </c>
    </row>
    <row r="16" spans="1:12" x14ac:dyDescent="0.3">
      <c r="A16" s="1" t="s">
        <v>107</v>
      </c>
      <c r="B16" s="1" t="s">
        <v>108</v>
      </c>
      <c r="C16" s="1" t="s">
        <v>81</v>
      </c>
      <c r="D16" s="1">
        <v>1</v>
      </c>
      <c r="E16" s="7">
        <v>3115650.83333334</v>
      </c>
      <c r="F16" s="1" t="str">
        <f t="shared" si="0"/>
        <v>no</v>
      </c>
      <c r="G16" s="1" t="str">
        <f t="shared" si="1"/>
        <v>no</v>
      </c>
    </row>
    <row r="17" spans="1:7" x14ac:dyDescent="0.3">
      <c r="A17" s="1" t="s">
        <v>109</v>
      </c>
      <c r="B17" s="1" t="s">
        <v>110</v>
      </c>
      <c r="C17" s="1" t="s">
        <v>81</v>
      </c>
      <c r="D17" s="1">
        <v>1</v>
      </c>
      <c r="E17" s="7">
        <v>3300401.75</v>
      </c>
      <c r="F17" s="1" t="str">
        <f t="shared" si="0"/>
        <v>no</v>
      </c>
      <c r="G17" s="1" t="str">
        <f t="shared" si="1"/>
        <v>no</v>
      </c>
    </row>
    <row r="18" spans="1:7" x14ac:dyDescent="0.3">
      <c r="A18" s="1" t="s">
        <v>111</v>
      </c>
      <c r="B18" s="1" t="s">
        <v>112</v>
      </c>
      <c r="C18" s="1" t="s">
        <v>78</v>
      </c>
      <c r="D18" s="1">
        <v>3</v>
      </c>
      <c r="E18" s="7">
        <v>3485152.6666666698</v>
      </c>
      <c r="F18" s="1" t="str">
        <f t="shared" si="0"/>
        <v>no</v>
      </c>
      <c r="G18" s="1" t="str">
        <f t="shared" si="1"/>
        <v>yes</v>
      </c>
    </row>
    <row r="19" spans="1:7" x14ac:dyDescent="0.3">
      <c r="A19" s="1" t="s">
        <v>113</v>
      </c>
      <c r="B19" s="1" t="s">
        <v>114</v>
      </c>
      <c r="C19" s="1" t="s">
        <v>81</v>
      </c>
      <c r="D19" s="1">
        <v>4</v>
      </c>
      <c r="E19" s="7">
        <v>3669903.58333334</v>
      </c>
      <c r="F19" s="1" t="str">
        <f t="shared" si="0"/>
        <v>no</v>
      </c>
      <c r="G19" s="1" t="str">
        <f t="shared" si="1"/>
        <v>no</v>
      </c>
    </row>
    <row r="20" spans="1:7" x14ac:dyDescent="0.3">
      <c r="A20" s="1" t="s">
        <v>115</v>
      </c>
      <c r="B20" s="1" t="s">
        <v>116</v>
      </c>
      <c r="C20" s="1" t="s">
        <v>84</v>
      </c>
      <c r="D20" s="1">
        <v>2</v>
      </c>
      <c r="E20" s="7">
        <v>3854654.5</v>
      </c>
      <c r="F20" s="1" t="str">
        <f t="shared" si="0"/>
        <v>no</v>
      </c>
      <c r="G20" s="1" t="str">
        <f t="shared" si="1"/>
        <v>no</v>
      </c>
    </row>
    <row r="21" spans="1:7" x14ac:dyDescent="0.3">
      <c r="A21" s="1" t="s">
        <v>117</v>
      </c>
      <c r="B21" s="1" t="s">
        <v>121</v>
      </c>
      <c r="C21" s="1" t="s">
        <v>81</v>
      </c>
      <c r="D21" s="1">
        <v>3.6666666666666701</v>
      </c>
      <c r="E21" s="7">
        <v>12345</v>
      </c>
      <c r="F21" s="1" t="str">
        <f t="shared" si="0"/>
        <v>no</v>
      </c>
      <c r="G21" s="1" t="str">
        <f t="shared" si="1"/>
        <v>no</v>
      </c>
    </row>
    <row r="22" spans="1:7" x14ac:dyDescent="0.3">
      <c r="A22" s="1" t="s">
        <v>118</v>
      </c>
      <c r="B22" s="1" t="s">
        <v>122</v>
      </c>
      <c r="C22" s="1" t="s">
        <v>84</v>
      </c>
      <c r="D22" s="1">
        <v>3.5912280701754402</v>
      </c>
      <c r="E22" s="7">
        <v>67894</v>
      </c>
      <c r="F22" s="1" t="str">
        <f t="shared" si="0"/>
        <v>no</v>
      </c>
      <c r="G22" s="1" t="str">
        <f t="shared" si="1"/>
        <v>no</v>
      </c>
    </row>
    <row r="23" spans="1:7" x14ac:dyDescent="0.3">
      <c r="A23" s="1" t="s">
        <v>119</v>
      </c>
      <c r="B23" s="1" t="s">
        <v>123</v>
      </c>
      <c r="C23" s="1" t="s">
        <v>78</v>
      </c>
      <c r="D23" s="1">
        <v>3.5157894736842099</v>
      </c>
      <c r="E23" s="7">
        <v>895634</v>
      </c>
      <c r="F23" s="1" t="str">
        <f t="shared" si="0"/>
        <v>no</v>
      </c>
      <c r="G23" s="1" t="str">
        <f t="shared" si="1"/>
        <v>yes</v>
      </c>
    </row>
    <row r="24" spans="1:7" x14ac:dyDescent="0.3">
      <c r="A24" s="1" t="s">
        <v>120</v>
      </c>
      <c r="B24" s="1" t="s">
        <v>124</v>
      </c>
      <c r="C24" s="1" t="s">
        <v>84</v>
      </c>
      <c r="D24" s="1">
        <v>3.4403508771929801</v>
      </c>
      <c r="E24" s="1">
        <v>45231</v>
      </c>
      <c r="F24" s="1" t="str">
        <f t="shared" si="0"/>
        <v>no</v>
      </c>
      <c r="G24" s="1" t="str">
        <f t="shared" si="1"/>
        <v>no</v>
      </c>
    </row>
    <row r="25" spans="1:7" x14ac:dyDescent="0.3">
      <c r="A25" s="1"/>
      <c r="B25" s="1"/>
      <c r="C25" s="1"/>
      <c r="D25" s="1"/>
      <c r="E25" s="1"/>
      <c r="F25" s="1"/>
      <c r="G25" s="1"/>
    </row>
  </sheetData>
  <mergeCells count="2">
    <mergeCell ref="J4:K4"/>
    <mergeCell ref="J8:K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82F28-65E0-49D7-8043-0CFB2C160BAB}">
  <dimension ref="A1:H16"/>
  <sheetViews>
    <sheetView workbookViewId="0">
      <selection sqref="A1:H16"/>
    </sheetView>
  </sheetViews>
  <sheetFormatPr defaultRowHeight="14.4" x14ac:dyDescent="0.3"/>
  <cols>
    <col min="1" max="1" width="13.33203125" customWidth="1"/>
    <col min="2" max="2" width="10.109375" bestFit="1" customWidth="1"/>
    <col min="3" max="3" width="11.109375" customWidth="1"/>
    <col min="4" max="4" width="11" customWidth="1"/>
    <col min="7" max="7" width="14.21875" customWidth="1"/>
    <col min="8" max="8" width="13.109375" customWidth="1"/>
  </cols>
  <sheetData>
    <row r="1" spans="1:8" x14ac:dyDescent="0.3">
      <c r="A1" s="22" t="s">
        <v>230</v>
      </c>
      <c r="B1" s="22" t="s">
        <v>231</v>
      </c>
      <c r="C1" s="22" t="s">
        <v>232</v>
      </c>
      <c r="D1" s="22" t="s">
        <v>197</v>
      </c>
      <c r="E1" s="22" t="s">
        <v>40</v>
      </c>
      <c r="F1" s="22" t="s">
        <v>4</v>
      </c>
      <c r="G1" s="22" t="s">
        <v>233</v>
      </c>
      <c r="H1" s="22" t="s">
        <v>234</v>
      </c>
    </row>
    <row r="2" spans="1:8" x14ac:dyDescent="0.3">
      <c r="A2" s="8">
        <v>44927</v>
      </c>
      <c r="B2" s="1" t="s">
        <v>243</v>
      </c>
      <c r="C2" s="1" t="s">
        <v>246</v>
      </c>
      <c r="D2" s="1" t="s">
        <v>265</v>
      </c>
      <c r="E2" s="1" t="s">
        <v>271</v>
      </c>
      <c r="F2" s="1">
        <v>1</v>
      </c>
      <c r="G2" s="1">
        <v>76</v>
      </c>
      <c r="H2" s="1">
        <f t="shared" ref="H2:H16" si="0">F2*G2</f>
        <v>76</v>
      </c>
    </row>
    <row r="3" spans="1:8" x14ac:dyDescent="0.3">
      <c r="A3" s="8">
        <v>36561</v>
      </c>
      <c r="B3" s="1" t="s">
        <v>235</v>
      </c>
      <c r="C3" s="1" t="s">
        <v>247</v>
      </c>
      <c r="D3" s="1" t="s">
        <v>257</v>
      </c>
      <c r="E3" s="1" t="s">
        <v>272</v>
      </c>
      <c r="F3" s="1">
        <v>1</v>
      </c>
      <c r="G3" s="1">
        <v>125</v>
      </c>
      <c r="H3" s="1">
        <f t="shared" si="0"/>
        <v>125</v>
      </c>
    </row>
    <row r="4" spans="1:8" x14ac:dyDescent="0.3">
      <c r="A4" s="8">
        <v>36561</v>
      </c>
      <c r="B4" s="1" t="s">
        <v>236</v>
      </c>
      <c r="C4" s="1" t="s">
        <v>245</v>
      </c>
      <c r="D4" s="1" t="s">
        <v>255</v>
      </c>
      <c r="E4" s="1" t="s">
        <v>270</v>
      </c>
      <c r="F4" s="1">
        <v>5</v>
      </c>
      <c r="G4" s="1">
        <v>45</v>
      </c>
      <c r="H4" s="1">
        <f t="shared" si="0"/>
        <v>225</v>
      </c>
    </row>
    <row r="5" spans="1:8" x14ac:dyDescent="0.3">
      <c r="A5" s="8">
        <v>44927</v>
      </c>
      <c r="B5" s="1" t="s">
        <v>235</v>
      </c>
      <c r="C5" s="1" t="s">
        <v>244</v>
      </c>
      <c r="D5" s="1" t="s">
        <v>254</v>
      </c>
      <c r="E5" s="1" t="s">
        <v>269</v>
      </c>
      <c r="F5" s="1">
        <v>4</v>
      </c>
      <c r="G5" s="1">
        <v>123</v>
      </c>
      <c r="H5" s="1">
        <f t="shared" si="0"/>
        <v>492</v>
      </c>
    </row>
    <row r="6" spans="1:8" x14ac:dyDescent="0.3">
      <c r="A6" s="8">
        <v>44927</v>
      </c>
      <c r="B6" s="1" t="s">
        <v>238</v>
      </c>
      <c r="C6" s="1" t="s">
        <v>251</v>
      </c>
      <c r="D6" s="1" t="s">
        <v>266</v>
      </c>
      <c r="E6" s="1" t="s">
        <v>271</v>
      </c>
      <c r="F6" s="1">
        <v>2</v>
      </c>
      <c r="G6" s="1">
        <v>432</v>
      </c>
      <c r="H6" s="1">
        <f t="shared" si="0"/>
        <v>864</v>
      </c>
    </row>
    <row r="7" spans="1:8" x14ac:dyDescent="0.3">
      <c r="A7" s="8">
        <v>44927</v>
      </c>
      <c r="B7" s="1" t="s">
        <v>237</v>
      </c>
      <c r="C7" s="1" t="s">
        <v>248</v>
      </c>
      <c r="D7" s="1" t="s">
        <v>264</v>
      </c>
      <c r="E7" s="1" t="s">
        <v>273</v>
      </c>
      <c r="F7" s="1">
        <v>3</v>
      </c>
      <c r="G7" s="1">
        <v>342</v>
      </c>
      <c r="H7" s="1">
        <f t="shared" si="0"/>
        <v>1026</v>
      </c>
    </row>
    <row r="8" spans="1:8" x14ac:dyDescent="0.3">
      <c r="A8" s="8">
        <v>35773</v>
      </c>
      <c r="B8" s="1" t="s">
        <v>237</v>
      </c>
      <c r="C8" s="1" t="s">
        <v>246</v>
      </c>
      <c r="D8" s="1" t="s">
        <v>256</v>
      </c>
      <c r="E8" s="1" t="s">
        <v>271</v>
      </c>
      <c r="F8" s="1">
        <v>2</v>
      </c>
      <c r="G8" s="1">
        <v>678</v>
      </c>
      <c r="H8" s="1">
        <f t="shared" si="0"/>
        <v>1356</v>
      </c>
    </row>
    <row r="9" spans="1:8" x14ac:dyDescent="0.3">
      <c r="A9" s="8">
        <v>36561</v>
      </c>
      <c r="B9" s="1" t="s">
        <v>242</v>
      </c>
      <c r="C9" s="1" t="s">
        <v>245</v>
      </c>
      <c r="D9" s="1" t="s">
        <v>262</v>
      </c>
      <c r="E9" s="1" t="s">
        <v>270</v>
      </c>
      <c r="F9" s="1">
        <v>2</v>
      </c>
      <c r="G9" s="1">
        <v>876</v>
      </c>
      <c r="H9" s="1">
        <f t="shared" si="0"/>
        <v>1752</v>
      </c>
    </row>
    <row r="10" spans="1:8" x14ac:dyDescent="0.3">
      <c r="A10" s="8">
        <v>44927</v>
      </c>
      <c r="B10" s="1" t="s">
        <v>236</v>
      </c>
      <c r="C10" s="1" t="s">
        <v>249</v>
      </c>
      <c r="D10" s="1" t="s">
        <v>268</v>
      </c>
      <c r="E10" s="1" t="s">
        <v>269</v>
      </c>
      <c r="F10" s="1">
        <v>3</v>
      </c>
      <c r="G10" s="1">
        <v>654</v>
      </c>
      <c r="H10" s="1">
        <f t="shared" si="0"/>
        <v>1962</v>
      </c>
    </row>
    <row r="11" spans="1:8" x14ac:dyDescent="0.3">
      <c r="A11" s="8">
        <v>35773</v>
      </c>
      <c r="B11" s="1" t="s">
        <v>240</v>
      </c>
      <c r="C11" s="1" t="s">
        <v>253</v>
      </c>
      <c r="D11" s="1" t="s">
        <v>260</v>
      </c>
      <c r="E11" s="1" t="s">
        <v>273</v>
      </c>
      <c r="F11" s="1">
        <v>4</v>
      </c>
      <c r="G11" s="1">
        <v>678</v>
      </c>
      <c r="H11" s="1">
        <f t="shared" si="0"/>
        <v>2712</v>
      </c>
    </row>
    <row r="12" spans="1:8" x14ac:dyDescent="0.3">
      <c r="A12" s="8">
        <v>35773</v>
      </c>
      <c r="B12" s="1" t="s">
        <v>238</v>
      </c>
      <c r="C12" s="1" t="s">
        <v>247</v>
      </c>
      <c r="D12" s="1" t="s">
        <v>263</v>
      </c>
      <c r="E12" s="1" t="s">
        <v>272</v>
      </c>
      <c r="F12" s="1">
        <v>12</v>
      </c>
      <c r="G12" s="1">
        <v>236</v>
      </c>
      <c r="H12" s="1">
        <f t="shared" si="0"/>
        <v>2832</v>
      </c>
    </row>
    <row r="13" spans="1:8" x14ac:dyDescent="0.3">
      <c r="A13" s="8">
        <v>36561</v>
      </c>
      <c r="B13" s="1" t="s">
        <v>239</v>
      </c>
      <c r="C13" s="1" t="s">
        <v>252</v>
      </c>
      <c r="D13" s="1" t="s">
        <v>267</v>
      </c>
      <c r="E13" s="1" t="s">
        <v>272</v>
      </c>
      <c r="F13" s="1">
        <v>7</v>
      </c>
      <c r="G13" s="1">
        <v>543</v>
      </c>
      <c r="H13" s="1">
        <f t="shared" si="0"/>
        <v>3801</v>
      </c>
    </row>
    <row r="14" spans="1:8" x14ac:dyDescent="0.3">
      <c r="A14" s="8">
        <v>44927</v>
      </c>
      <c r="B14" s="1" t="s">
        <v>241</v>
      </c>
      <c r="C14" s="1" t="s">
        <v>244</v>
      </c>
      <c r="D14" s="1" t="s">
        <v>261</v>
      </c>
      <c r="E14" s="1" t="s">
        <v>269</v>
      </c>
      <c r="F14" s="1">
        <v>5</v>
      </c>
      <c r="G14" s="1">
        <v>987</v>
      </c>
      <c r="H14" s="1">
        <f t="shared" si="0"/>
        <v>4935</v>
      </c>
    </row>
    <row r="15" spans="1:8" x14ac:dyDescent="0.3">
      <c r="A15" s="8">
        <v>36167</v>
      </c>
      <c r="B15" s="1" t="s">
        <v>237</v>
      </c>
      <c r="C15" s="1" t="s">
        <v>250</v>
      </c>
      <c r="D15" s="1" t="s">
        <v>259</v>
      </c>
      <c r="E15" s="1" t="s">
        <v>270</v>
      </c>
      <c r="F15" s="1">
        <v>8</v>
      </c>
      <c r="G15" s="1">
        <v>723</v>
      </c>
      <c r="H15" s="1">
        <f t="shared" si="0"/>
        <v>5784</v>
      </c>
    </row>
    <row r="16" spans="1:8" x14ac:dyDescent="0.3">
      <c r="A16" s="8">
        <v>35773</v>
      </c>
      <c r="B16" s="1" t="s">
        <v>238</v>
      </c>
      <c r="C16" s="1" t="s">
        <v>248</v>
      </c>
      <c r="D16" s="1" t="s">
        <v>258</v>
      </c>
      <c r="E16" s="1" t="s">
        <v>273</v>
      </c>
      <c r="F16" s="1">
        <v>12</v>
      </c>
      <c r="G16" s="1">
        <v>789</v>
      </c>
      <c r="H16" s="1">
        <f t="shared" si="0"/>
        <v>9468</v>
      </c>
    </row>
  </sheetData>
  <autoFilter ref="A1:H16" xr:uid="{0B382F28-65E0-49D7-8043-0CFB2C160BAB}"/>
  <sortState xmlns:xlrd2="http://schemas.microsoft.com/office/spreadsheetml/2017/richdata2" ref="A2:H16">
    <sortCondition ref="H2:H16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BB828-BAEC-4D06-BA6F-1A49751CDA46}">
  <dimension ref="A1:CG30"/>
  <sheetViews>
    <sheetView topLeftCell="BD1" workbookViewId="0">
      <selection activeCell="BV2" sqref="BV2"/>
    </sheetView>
  </sheetViews>
  <sheetFormatPr defaultRowHeight="14.4" x14ac:dyDescent="0.3"/>
  <cols>
    <col min="1" max="1" width="15.44140625" customWidth="1"/>
    <col min="2" max="2" width="17.6640625" customWidth="1"/>
    <col min="3" max="3" width="14.44140625" customWidth="1"/>
    <col min="5" max="5" width="12" customWidth="1"/>
    <col min="6" max="6" width="13.6640625" customWidth="1"/>
    <col min="7" max="7" width="14" customWidth="1"/>
    <col min="9" max="9" width="13" customWidth="1"/>
    <col min="10" max="10" width="13.88671875" customWidth="1"/>
    <col min="12" max="12" width="22.109375" customWidth="1"/>
    <col min="17" max="17" width="6.44140625" customWidth="1"/>
    <col min="18" max="18" width="4" hidden="1" customWidth="1"/>
    <col min="19" max="19" width="12.5546875" customWidth="1"/>
    <col min="20" max="20" width="15.6640625" customWidth="1"/>
    <col min="23" max="23" width="9.5546875" style="33" bestFit="1" customWidth="1"/>
    <col min="30" max="30" width="15" customWidth="1"/>
    <col min="48" max="48" width="15" customWidth="1"/>
    <col min="74" max="74" width="14.5546875" customWidth="1"/>
  </cols>
  <sheetData>
    <row r="1" spans="1:85" ht="78" x14ac:dyDescent="0.3">
      <c r="A1" s="30" t="s">
        <v>274</v>
      </c>
      <c r="B1" s="30" t="s">
        <v>275</v>
      </c>
      <c r="C1" s="30" t="s">
        <v>276</v>
      </c>
      <c r="D1" s="30" t="s">
        <v>277</v>
      </c>
      <c r="E1" s="30" t="s">
        <v>278</v>
      </c>
      <c r="F1" s="30" t="s">
        <v>279</v>
      </c>
      <c r="G1" s="30" t="s">
        <v>197</v>
      </c>
      <c r="H1" s="30" t="s">
        <v>232</v>
      </c>
      <c r="I1" s="30" t="s">
        <v>280</v>
      </c>
      <c r="J1" s="30" t="s">
        <v>281</v>
      </c>
      <c r="K1" s="30" t="s">
        <v>282</v>
      </c>
      <c r="L1" s="30" t="s">
        <v>283</v>
      </c>
      <c r="S1" s="30" t="s">
        <v>274</v>
      </c>
      <c r="T1" s="30" t="s">
        <v>275</v>
      </c>
      <c r="U1" s="30" t="s">
        <v>276</v>
      </c>
      <c r="V1" s="30" t="s">
        <v>277</v>
      </c>
      <c r="W1" s="28" t="s">
        <v>278</v>
      </c>
      <c r="X1" s="30" t="s">
        <v>279</v>
      </c>
      <c r="Y1" s="30" t="s">
        <v>197</v>
      </c>
      <c r="Z1" s="30" t="s">
        <v>232</v>
      </c>
      <c r="AA1" s="30" t="s">
        <v>280</v>
      </c>
      <c r="AB1" s="30" t="s">
        <v>281</v>
      </c>
      <c r="AC1" s="30" t="s">
        <v>282</v>
      </c>
      <c r="AD1" s="30" t="s">
        <v>283</v>
      </c>
      <c r="AK1" s="34" t="s">
        <v>274</v>
      </c>
      <c r="AL1" s="34" t="s">
        <v>275</v>
      </c>
      <c r="AM1" s="34" t="s">
        <v>276</v>
      </c>
      <c r="AN1" s="34" t="s">
        <v>277</v>
      </c>
      <c r="AO1" s="34" t="s">
        <v>278</v>
      </c>
      <c r="AP1" s="34" t="s">
        <v>279</v>
      </c>
      <c r="AQ1" s="34" t="s">
        <v>197</v>
      </c>
      <c r="AR1" s="34" t="s">
        <v>232</v>
      </c>
      <c r="AS1" s="34" t="s">
        <v>280</v>
      </c>
      <c r="AT1" s="34" t="s">
        <v>281</v>
      </c>
      <c r="AU1" s="34" t="s">
        <v>282</v>
      </c>
      <c r="AV1" s="34" t="s">
        <v>283</v>
      </c>
      <c r="BB1" s="34" t="s">
        <v>197</v>
      </c>
      <c r="BE1" s="34" t="s">
        <v>274</v>
      </c>
      <c r="BF1" s="34" t="s">
        <v>275</v>
      </c>
      <c r="BG1" s="34" t="s">
        <v>276</v>
      </c>
      <c r="BH1" s="34" t="s">
        <v>277</v>
      </c>
      <c r="BI1" s="34" t="s">
        <v>278</v>
      </c>
      <c r="BJ1" s="34" t="s">
        <v>279</v>
      </c>
      <c r="BK1" s="34" t="s">
        <v>197</v>
      </c>
      <c r="BL1" s="34" t="s">
        <v>232</v>
      </c>
      <c r="BM1" s="34" t="s">
        <v>280</v>
      </c>
      <c r="BN1" s="34" t="s">
        <v>281</v>
      </c>
      <c r="BO1" s="34" t="s">
        <v>282</v>
      </c>
      <c r="BP1" s="34" t="s">
        <v>283</v>
      </c>
      <c r="BV1" s="34" t="s">
        <v>274</v>
      </c>
      <c r="BW1" s="34" t="s">
        <v>275</v>
      </c>
      <c r="BX1" s="34" t="s">
        <v>276</v>
      </c>
      <c r="BY1" s="34" t="s">
        <v>277</v>
      </c>
      <c r="BZ1" s="34" t="s">
        <v>278</v>
      </c>
      <c r="CA1" s="34" t="s">
        <v>279</v>
      </c>
      <c r="CB1" s="34" t="s">
        <v>197</v>
      </c>
      <c r="CC1" s="34" t="s">
        <v>232</v>
      </c>
      <c r="CD1" s="34" t="s">
        <v>280</v>
      </c>
      <c r="CE1" s="34" t="s">
        <v>281</v>
      </c>
      <c r="CF1" s="34" t="s">
        <v>282</v>
      </c>
      <c r="CG1" s="34" t="s">
        <v>283</v>
      </c>
    </row>
    <row r="2" spans="1:85" x14ac:dyDescent="0.3">
      <c r="A2" s="31" t="s">
        <v>305</v>
      </c>
      <c r="B2" s="31" t="s">
        <v>306</v>
      </c>
      <c r="C2" s="31" t="s">
        <v>307</v>
      </c>
      <c r="D2" s="31">
        <v>4</v>
      </c>
      <c r="E2" s="32">
        <v>45293</v>
      </c>
      <c r="F2" s="31" t="s">
        <v>287</v>
      </c>
      <c r="G2" s="31" t="s">
        <v>308</v>
      </c>
      <c r="H2" s="31" t="s">
        <v>309</v>
      </c>
      <c r="I2" s="31" t="s">
        <v>310</v>
      </c>
      <c r="J2" s="31" t="s">
        <v>311</v>
      </c>
      <c r="K2" s="31">
        <v>26</v>
      </c>
      <c r="L2" s="31" t="s">
        <v>299</v>
      </c>
      <c r="S2" t="str" cm="1">
        <f t="array" ref="S2:AD30">_xlfn._xlws.SORT(A2:L30,2,1)</f>
        <v>EWI-18960031</v>
      </c>
      <c r="T2" t="str">
        <v>Abigale Morgan</v>
      </c>
      <c r="U2" t="str">
        <v>Very Negative</v>
      </c>
      <c r="V2">
        <v>4</v>
      </c>
      <c r="W2" s="33">
        <v>45302</v>
      </c>
      <c r="X2" t="str">
        <v>Billing Question</v>
      </c>
      <c r="Y2" t="str">
        <v>Minneapolis</v>
      </c>
      <c r="Z2" t="str">
        <v>Minnesota</v>
      </c>
      <c r="AA2" t="str">
        <v>Chatbot</v>
      </c>
      <c r="AB2" t="str">
        <v>Within SLA</v>
      </c>
      <c r="AC2">
        <v>7</v>
      </c>
      <c r="AD2" t="str">
        <v>Baltimore/MD</v>
      </c>
      <c r="AK2" s="1" t="str" cm="1">
        <f t="array" ref="AK2:AV5">_xlfn._xlws.FILTER(A2:L30,H2:H30="Florida")</f>
        <v>APY-17008648</v>
      </c>
      <c r="AL2" s="1" t="str">
        <v>Rafe Duffitt</v>
      </c>
      <c r="AM2" s="1" t="str">
        <v>Very Negative</v>
      </c>
      <c r="AN2" s="1">
        <v>4</v>
      </c>
      <c r="AO2" s="1">
        <v>45293</v>
      </c>
      <c r="AP2" s="1" t="str">
        <v>Billing Question</v>
      </c>
      <c r="AQ2" s="1" t="str">
        <v>Fort Myers</v>
      </c>
      <c r="AR2" s="1" t="str">
        <v>Florida</v>
      </c>
      <c r="AS2" s="1" t="str">
        <v>Email</v>
      </c>
      <c r="AT2" s="1" t="str">
        <v>Below SLA</v>
      </c>
      <c r="AU2" s="1">
        <v>26</v>
      </c>
      <c r="AV2" s="1" t="str">
        <v>Los Angeles/CA</v>
      </c>
      <c r="BB2" t="s">
        <v>341</v>
      </c>
      <c r="BE2" s="1" t="str" cm="1">
        <f t="array" ref="BE2:BP4">_xlfn._xlws.FILTER(A2:L30,H2:H30=BB2)</f>
        <v>BPQ-80812775</v>
      </c>
      <c r="BF2" s="1" t="str">
        <v>Julee O'Gavin</v>
      </c>
      <c r="BG2" s="1" t="str">
        <v>Negative</v>
      </c>
      <c r="BH2" s="1">
        <v>3</v>
      </c>
      <c r="BI2" s="1">
        <v>45296</v>
      </c>
      <c r="BJ2" s="1" t="str">
        <v>Billing Question</v>
      </c>
      <c r="BK2" s="1" t="str">
        <v>Santa Ana</v>
      </c>
      <c r="BL2" s="1" t="str">
        <v>California</v>
      </c>
      <c r="BM2" s="1" t="str">
        <v>Chatbot</v>
      </c>
      <c r="BN2" s="1" t="str">
        <v>Above SLA</v>
      </c>
      <c r="BO2" s="1">
        <v>44</v>
      </c>
      <c r="BP2" s="1" t="str">
        <v>Baltimore/MD</v>
      </c>
    </row>
    <row r="3" spans="1:85" x14ac:dyDescent="0.3">
      <c r="A3" s="31" t="s">
        <v>338</v>
      </c>
      <c r="B3" s="31" t="s">
        <v>339</v>
      </c>
      <c r="C3" s="31" t="s">
        <v>295</v>
      </c>
      <c r="D3" s="31">
        <v>3</v>
      </c>
      <c r="E3" s="32">
        <v>45296</v>
      </c>
      <c r="F3" s="31" t="s">
        <v>287</v>
      </c>
      <c r="G3" s="31" t="s">
        <v>340</v>
      </c>
      <c r="H3" s="31" t="s">
        <v>341</v>
      </c>
      <c r="I3" s="31" t="s">
        <v>290</v>
      </c>
      <c r="J3" s="31" t="s">
        <v>342</v>
      </c>
      <c r="K3" s="31">
        <v>44</v>
      </c>
      <c r="L3" s="31" t="s">
        <v>321</v>
      </c>
      <c r="S3" t="str">
        <v>YLF-83918836</v>
      </c>
      <c r="T3" t="str">
        <v>Bogey McReath</v>
      </c>
      <c r="U3" t="str">
        <v>Positive</v>
      </c>
      <c r="V3">
        <v>7</v>
      </c>
      <c r="W3" s="33">
        <v>45299</v>
      </c>
      <c r="X3" t="str">
        <v>Billing Question</v>
      </c>
      <c r="Y3" t="str">
        <v>New York City</v>
      </c>
      <c r="Z3" t="str">
        <v>New York</v>
      </c>
      <c r="AA3" t="str">
        <v>Web</v>
      </c>
      <c r="AB3" t="str">
        <v>Within SLA</v>
      </c>
      <c r="AC3">
        <v>20</v>
      </c>
      <c r="AD3" t="str">
        <v>Baltimore/MD</v>
      </c>
      <c r="AK3" s="1" t="str">
        <v>PDB-14404239</v>
      </c>
      <c r="AL3" s="1" t="str">
        <v>Charles Sandison</v>
      </c>
      <c r="AM3" s="1" t="str">
        <v>Neutral</v>
      </c>
      <c r="AN3" s="1">
        <v>5</v>
      </c>
      <c r="AO3" s="1">
        <v>45300</v>
      </c>
      <c r="AP3" s="1" t="str">
        <v>Billing Question</v>
      </c>
      <c r="AQ3" s="1" t="str">
        <v>Fort Pierce</v>
      </c>
      <c r="AR3" s="1" t="str">
        <v>Florida</v>
      </c>
      <c r="AS3" s="1" t="str">
        <v>Email</v>
      </c>
      <c r="AT3" s="1" t="str">
        <v>Below SLA</v>
      </c>
      <c r="AU3" s="1">
        <v>39</v>
      </c>
      <c r="AV3" s="1" t="str">
        <v>Los Angeles/CA</v>
      </c>
      <c r="BE3" s="1" t="str">
        <v>KNO-93249512</v>
      </c>
      <c r="BF3" s="1" t="str">
        <v>Maggi Simpson</v>
      </c>
      <c r="BG3" s="1" t="str">
        <v>Positive</v>
      </c>
      <c r="BH3" s="1">
        <v>9</v>
      </c>
      <c r="BI3" s="1">
        <v>45299</v>
      </c>
      <c r="BJ3" s="1" t="str">
        <v>Payments</v>
      </c>
      <c r="BK3" s="1" t="str">
        <v>San Francisco</v>
      </c>
      <c r="BL3" s="1" t="str">
        <v>California</v>
      </c>
      <c r="BM3" s="1" t="str">
        <v>Call-Center</v>
      </c>
      <c r="BN3" s="1" t="str">
        <v>Within SLA</v>
      </c>
      <c r="BO3" s="1">
        <v>9</v>
      </c>
      <c r="BP3" s="1" t="str">
        <v>Baltimore/MD</v>
      </c>
    </row>
    <row r="4" spans="1:85" x14ac:dyDescent="0.3">
      <c r="A4" s="31" t="s">
        <v>404</v>
      </c>
      <c r="B4" s="31" t="s">
        <v>405</v>
      </c>
      <c r="C4" s="31" t="s">
        <v>295</v>
      </c>
      <c r="D4" s="31">
        <v>6</v>
      </c>
      <c r="E4" s="32">
        <v>45304</v>
      </c>
      <c r="F4" s="31" t="s">
        <v>287</v>
      </c>
      <c r="G4" s="31" t="s">
        <v>406</v>
      </c>
      <c r="H4" s="31" t="s">
        <v>407</v>
      </c>
      <c r="I4" s="31" t="s">
        <v>298</v>
      </c>
      <c r="J4" s="31" t="s">
        <v>291</v>
      </c>
      <c r="K4" s="31">
        <v>39</v>
      </c>
      <c r="L4" s="31" t="s">
        <v>321</v>
      </c>
      <c r="S4" t="str">
        <v>ZMB-79323804</v>
      </c>
      <c r="T4" t="str">
        <v>Brodie Dobrowski</v>
      </c>
      <c r="U4" t="str">
        <v>Negative</v>
      </c>
      <c r="V4">
        <v>5</v>
      </c>
      <c r="W4" s="33">
        <v>45297</v>
      </c>
      <c r="X4" t="str">
        <v>Billing Question</v>
      </c>
      <c r="Y4" t="str">
        <v>Pittsburgh</v>
      </c>
      <c r="Z4" t="str">
        <v>Pennsylvania</v>
      </c>
      <c r="AA4" t="str">
        <v>Chatbot</v>
      </c>
      <c r="AB4" t="str">
        <v>Within SLA</v>
      </c>
      <c r="AC4">
        <v>35</v>
      </c>
      <c r="AD4" t="str">
        <v>Baltimore/MD</v>
      </c>
      <c r="AK4" s="1" t="str">
        <v>ZPZ-31710059</v>
      </c>
      <c r="AL4" s="1" t="str">
        <v>Elbertina Hewins</v>
      </c>
      <c r="AM4" s="1" t="str">
        <v>Very Positive</v>
      </c>
      <c r="AN4" s="1">
        <v>10</v>
      </c>
      <c r="AO4" s="1">
        <v>45294</v>
      </c>
      <c r="AP4" s="1" t="str">
        <v>Payments</v>
      </c>
      <c r="AQ4" s="1" t="str">
        <v>Pensacola</v>
      </c>
      <c r="AR4" s="1" t="str">
        <v>Florida</v>
      </c>
      <c r="AS4" s="1" t="str">
        <v>Call-Center</v>
      </c>
      <c r="AT4" s="1" t="str">
        <v>Within SLA</v>
      </c>
      <c r="AU4" s="1">
        <v>9</v>
      </c>
      <c r="AV4" s="1" t="str">
        <v>Los Angeles/CA</v>
      </c>
      <c r="BE4" s="1" t="str">
        <v>VKV-67119644</v>
      </c>
      <c r="BF4" s="1" t="str">
        <v>Lillis Dewhurst</v>
      </c>
      <c r="BG4" s="1" t="str">
        <v>Negative</v>
      </c>
      <c r="BH4" s="1">
        <v>4</v>
      </c>
      <c r="BI4" s="1">
        <v>45301</v>
      </c>
      <c r="BJ4" s="1" t="str">
        <v>Billing Question</v>
      </c>
      <c r="BK4" s="1" t="str">
        <v>Stockton</v>
      </c>
      <c r="BL4" s="1" t="str">
        <v>California</v>
      </c>
      <c r="BM4" s="1" t="str">
        <v>Call-Center</v>
      </c>
      <c r="BN4" s="1" t="str">
        <v>Above SLA</v>
      </c>
      <c r="BO4" s="1">
        <v>44</v>
      </c>
      <c r="BP4" s="1" t="str">
        <v>Denver/CO</v>
      </c>
    </row>
    <row r="5" spans="1:85" x14ac:dyDescent="0.3">
      <c r="A5" s="31" t="s">
        <v>398</v>
      </c>
      <c r="B5" s="31" t="s">
        <v>399</v>
      </c>
      <c r="C5" s="31" t="s">
        <v>324</v>
      </c>
      <c r="D5" s="31">
        <v>10</v>
      </c>
      <c r="E5" s="32">
        <v>45303</v>
      </c>
      <c r="F5" s="31" t="s">
        <v>287</v>
      </c>
      <c r="G5" s="31" t="s">
        <v>400</v>
      </c>
      <c r="H5" s="31" t="s">
        <v>303</v>
      </c>
      <c r="I5" s="31" t="s">
        <v>317</v>
      </c>
      <c r="J5" s="31" t="s">
        <v>311</v>
      </c>
      <c r="K5" s="31">
        <v>36</v>
      </c>
      <c r="L5" s="31" t="s">
        <v>299</v>
      </c>
      <c r="S5" t="str">
        <v>ZKW-68562847</v>
      </c>
      <c r="T5" t="str">
        <v>Caroljean Bischop</v>
      </c>
      <c r="U5" t="str">
        <v>Negative</v>
      </c>
      <c r="V5">
        <v>3</v>
      </c>
      <c r="W5" s="33">
        <v>45295</v>
      </c>
      <c r="X5" t="str">
        <v>Billing Question</v>
      </c>
      <c r="Y5" t="str">
        <v>Nashville</v>
      </c>
      <c r="Z5" t="str">
        <v>Tennessee</v>
      </c>
      <c r="AA5" t="str">
        <v>Web</v>
      </c>
      <c r="AB5" t="str">
        <v>Within SLA</v>
      </c>
      <c r="AC5">
        <v>12</v>
      </c>
      <c r="AD5" t="str">
        <v>Los Angeles/CA</v>
      </c>
      <c r="AK5" s="1" t="str">
        <v>ZYX-10467563</v>
      </c>
      <c r="AL5" s="1" t="str">
        <v>Ginelle Olver</v>
      </c>
      <c r="AM5" s="1" t="str">
        <v>Neutral</v>
      </c>
      <c r="AN5" s="1">
        <v>8</v>
      </c>
      <c r="AO5" s="1">
        <v>45304</v>
      </c>
      <c r="AP5" s="1" t="str">
        <v>Billing Question</v>
      </c>
      <c r="AQ5" s="1" t="str">
        <v>Fort Lauderdale</v>
      </c>
      <c r="AR5" s="1" t="str">
        <v>Florida</v>
      </c>
      <c r="AS5" s="1" t="str">
        <v>Call-Center</v>
      </c>
      <c r="AT5" s="1" t="str">
        <v>Within SLA</v>
      </c>
      <c r="AU5" s="1">
        <v>9</v>
      </c>
      <c r="AV5" s="1" t="str">
        <v>Chicago/IL</v>
      </c>
    </row>
    <row r="6" spans="1:85" x14ac:dyDescent="0.3">
      <c r="A6" s="31" t="s">
        <v>390</v>
      </c>
      <c r="B6" s="31" t="s">
        <v>391</v>
      </c>
      <c r="C6" s="31" t="s">
        <v>307</v>
      </c>
      <c r="D6" s="31">
        <v>4</v>
      </c>
      <c r="E6" s="32">
        <v>45302</v>
      </c>
      <c r="F6" s="31" t="s">
        <v>287</v>
      </c>
      <c r="G6" s="31" t="s">
        <v>392</v>
      </c>
      <c r="H6" s="31" t="s">
        <v>393</v>
      </c>
      <c r="I6" s="31" t="s">
        <v>290</v>
      </c>
      <c r="J6" s="31" t="s">
        <v>291</v>
      </c>
      <c r="K6" s="31">
        <v>7</v>
      </c>
      <c r="L6" s="31" t="s">
        <v>321</v>
      </c>
      <c r="S6" t="str">
        <v>PDB-14404239</v>
      </c>
      <c r="T6" t="str">
        <v>Charles Sandison</v>
      </c>
      <c r="U6" t="str">
        <v>Neutral</v>
      </c>
      <c r="V6">
        <v>5</v>
      </c>
      <c r="W6" s="33">
        <v>45300</v>
      </c>
      <c r="X6" t="str">
        <v>Billing Question</v>
      </c>
      <c r="Y6" t="str">
        <v>Fort Pierce</v>
      </c>
      <c r="Z6" t="str">
        <v>Florida</v>
      </c>
      <c r="AA6" t="str">
        <v>Email</v>
      </c>
      <c r="AB6" t="str">
        <v>Below SLA</v>
      </c>
      <c r="AC6">
        <v>39</v>
      </c>
      <c r="AD6" t="str">
        <v>Los Angeles/CA</v>
      </c>
    </row>
    <row r="7" spans="1:85" x14ac:dyDescent="0.3">
      <c r="A7" s="31" t="s">
        <v>327</v>
      </c>
      <c r="B7" s="31" t="s">
        <v>328</v>
      </c>
      <c r="C7" s="31" t="s">
        <v>295</v>
      </c>
      <c r="D7" s="31">
        <v>3</v>
      </c>
      <c r="E7" s="32">
        <v>45295</v>
      </c>
      <c r="F7" s="31" t="s">
        <v>287</v>
      </c>
      <c r="G7" s="31" t="s">
        <v>329</v>
      </c>
      <c r="H7" s="31" t="s">
        <v>330</v>
      </c>
      <c r="I7" s="31" t="s">
        <v>298</v>
      </c>
      <c r="J7" s="31" t="s">
        <v>291</v>
      </c>
      <c r="K7" s="31">
        <v>15</v>
      </c>
      <c r="L7" s="31" t="s">
        <v>321</v>
      </c>
      <c r="S7" t="str">
        <v>NIL-47926257</v>
      </c>
      <c r="T7" t="str">
        <v>Delmor McKleod</v>
      </c>
      <c r="U7" t="str">
        <v>Negative</v>
      </c>
      <c r="V7">
        <v>6</v>
      </c>
      <c r="W7" s="33">
        <v>45296</v>
      </c>
      <c r="X7" t="str">
        <v>Billing Question</v>
      </c>
      <c r="Y7" t="str">
        <v>El Paso</v>
      </c>
      <c r="Z7" t="str">
        <v>Texas</v>
      </c>
      <c r="AA7" t="str">
        <v>Web</v>
      </c>
      <c r="AB7" t="str">
        <v>Within SLA</v>
      </c>
      <c r="AC7">
        <v>42</v>
      </c>
      <c r="AD7" t="str">
        <v>Los Angeles/CA</v>
      </c>
    </row>
    <row r="8" spans="1:85" x14ac:dyDescent="0.3">
      <c r="A8" s="31" t="s">
        <v>394</v>
      </c>
      <c r="B8" s="31" t="s">
        <v>395</v>
      </c>
      <c r="C8" s="31" t="s">
        <v>307</v>
      </c>
      <c r="D8" s="31">
        <v>4</v>
      </c>
      <c r="E8" s="32">
        <v>45303</v>
      </c>
      <c r="F8" s="31" t="s">
        <v>287</v>
      </c>
      <c r="G8" s="31" t="s">
        <v>396</v>
      </c>
      <c r="H8" s="31" t="s">
        <v>397</v>
      </c>
      <c r="I8" s="31" t="s">
        <v>310</v>
      </c>
      <c r="J8" s="31" t="s">
        <v>291</v>
      </c>
      <c r="K8" s="31">
        <v>34</v>
      </c>
      <c r="L8" s="31" t="s">
        <v>299</v>
      </c>
      <c r="S8" t="str">
        <v>VFG-63863025</v>
      </c>
      <c r="T8" t="str">
        <v>Early Andrassy</v>
      </c>
      <c r="U8" t="str">
        <v>Very Positive</v>
      </c>
      <c r="V8">
        <v>9</v>
      </c>
      <c r="W8" s="33">
        <v>45299</v>
      </c>
      <c r="X8" t="str">
        <v>Billing Question</v>
      </c>
      <c r="Y8" t="str">
        <v>Lansing</v>
      </c>
      <c r="Z8" t="str">
        <v>Michigan</v>
      </c>
      <c r="AA8" t="str">
        <v>Chatbot</v>
      </c>
      <c r="AB8" t="str">
        <v>Within SLA</v>
      </c>
      <c r="AC8">
        <v>8</v>
      </c>
      <c r="AD8" t="str">
        <v>Los Angeles/CA</v>
      </c>
    </row>
    <row r="9" spans="1:85" x14ac:dyDescent="0.3">
      <c r="A9" s="31" t="s">
        <v>354</v>
      </c>
      <c r="B9" s="31" t="s">
        <v>355</v>
      </c>
      <c r="C9" s="31" t="s">
        <v>295</v>
      </c>
      <c r="D9" s="31">
        <v>6</v>
      </c>
      <c r="E9" s="32">
        <v>45298</v>
      </c>
      <c r="F9" s="31" t="s">
        <v>325</v>
      </c>
      <c r="G9" s="31" t="s">
        <v>356</v>
      </c>
      <c r="H9" s="31" t="s">
        <v>357</v>
      </c>
      <c r="I9" s="31" t="s">
        <v>298</v>
      </c>
      <c r="J9" s="31" t="s">
        <v>291</v>
      </c>
      <c r="K9" s="31">
        <v>29</v>
      </c>
      <c r="L9" s="31" t="s">
        <v>299</v>
      </c>
      <c r="S9" t="str">
        <v>ZPZ-31710059</v>
      </c>
      <c r="T9" t="str">
        <v>Elbertina Hewins</v>
      </c>
      <c r="U9" t="str">
        <v>Very Positive</v>
      </c>
      <c r="V9">
        <v>10</v>
      </c>
      <c r="W9" s="33">
        <v>45294</v>
      </c>
      <c r="X9" t="str">
        <v>Payments</v>
      </c>
      <c r="Y9" t="str">
        <v>Pensacola</v>
      </c>
      <c r="Z9" t="str">
        <v>Florida</v>
      </c>
      <c r="AA9" t="str">
        <v>Call-Center</v>
      </c>
      <c r="AB9" t="str">
        <v>Within SLA</v>
      </c>
      <c r="AC9">
        <v>9</v>
      </c>
      <c r="AD9" t="str">
        <v>Los Angeles/CA</v>
      </c>
    </row>
    <row r="10" spans="1:85" x14ac:dyDescent="0.3">
      <c r="A10" s="31" t="s">
        <v>358</v>
      </c>
      <c r="B10" s="31" t="s">
        <v>359</v>
      </c>
      <c r="C10" s="31" t="s">
        <v>314</v>
      </c>
      <c r="D10" s="31">
        <v>9</v>
      </c>
      <c r="E10" s="32">
        <v>45299</v>
      </c>
      <c r="F10" s="31" t="s">
        <v>325</v>
      </c>
      <c r="G10" s="31" t="s">
        <v>360</v>
      </c>
      <c r="H10" s="31" t="s">
        <v>341</v>
      </c>
      <c r="I10" s="31" t="s">
        <v>298</v>
      </c>
      <c r="J10" s="31" t="s">
        <v>291</v>
      </c>
      <c r="K10" s="31">
        <v>9</v>
      </c>
      <c r="L10" s="31" t="s">
        <v>321</v>
      </c>
      <c r="S10" t="str">
        <v>UCT-41608771</v>
      </c>
      <c r="T10" t="str">
        <v>Ettie Ruoff</v>
      </c>
      <c r="U10" t="str">
        <v>Very Negative</v>
      </c>
      <c r="V10">
        <v>3</v>
      </c>
      <c r="W10" s="33">
        <v>45299</v>
      </c>
      <c r="X10" t="str">
        <v>Billing Question</v>
      </c>
      <c r="Y10" t="str">
        <v>Washington</v>
      </c>
      <c r="Z10" t="str">
        <v>District of Columbia</v>
      </c>
      <c r="AA10" t="str">
        <v>Chatbot</v>
      </c>
      <c r="AB10" t="str">
        <v>Above SLA</v>
      </c>
      <c r="AC10">
        <v>35</v>
      </c>
      <c r="AD10" t="str">
        <v>Chicago/IL</v>
      </c>
    </row>
    <row r="11" spans="1:85" x14ac:dyDescent="0.3">
      <c r="A11" s="31" t="s">
        <v>380</v>
      </c>
      <c r="B11" s="31" t="s">
        <v>381</v>
      </c>
      <c r="C11" s="31" t="s">
        <v>295</v>
      </c>
      <c r="D11" s="31">
        <v>3</v>
      </c>
      <c r="E11" s="32">
        <v>45301</v>
      </c>
      <c r="F11" s="31" t="s">
        <v>287</v>
      </c>
      <c r="G11" s="31" t="s">
        <v>382</v>
      </c>
      <c r="H11" s="31" t="s">
        <v>303</v>
      </c>
      <c r="I11" s="31" t="s">
        <v>298</v>
      </c>
      <c r="J11" s="31" t="s">
        <v>291</v>
      </c>
      <c r="K11" s="31">
        <v>38</v>
      </c>
      <c r="L11" s="31" t="s">
        <v>304</v>
      </c>
      <c r="S11" t="str">
        <v>PIS-39858047</v>
      </c>
      <c r="T11" t="str">
        <v>Frances Gullefant</v>
      </c>
      <c r="U11" t="str">
        <v>Neutral</v>
      </c>
      <c r="V11">
        <v>8</v>
      </c>
      <c r="W11" s="33">
        <v>45292</v>
      </c>
      <c r="X11" t="str">
        <v>Billing Question</v>
      </c>
      <c r="Y11" t="str">
        <v>Charleston</v>
      </c>
      <c r="Z11" t="str">
        <v>West Virginia</v>
      </c>
      <c r="AA11" t="str">
        <v>Chatbot</v>
      </c>
      <c r="AB11" t="str">
        <v>Within SLA</v>
      </c>
      <c r="AC11">
        <v>14</v>
      </c>
      <c r="AD11" t="str">
        <v>Chicago/IL</v>
      </c>
    </row>
    <row r="12" spans="1:85" x14ac:dyDescent="0.3">
      <c r="A12" s="31" t="s">
        <v>312</v>
      </c>
      <c r="B12" s="31" t="s">
        <v>313</v>
      </c>
      <c r="C12" s="31" t="s">
        <v>314</v>
      </c>
      <c r="D12" s="31">
        <v>8</v>
      </c>
      <c r="E12" s="32">
        <v>45293</v>
      </c>
      <c r="F12" s="31" t="s">
        <v>287</v>
      </c>
      <c r="G12" s="31" t="s">
        <v>315</v>
      </c>
      <c r="H12" s="31" t="s">
        <v>316</v>
      </c>
      <c r="I12" s="31" t="s">
        <v>317</v>
      </c>
      <c r="J12" s="31" t="s">
        <v>291</v>
      </c>
      <c r="K12" s="31">
        <v>26</v>
      </c>
      <c r="L12" s="31" t="s">
        <v>299</v>
      </c>
      <c r="S12" t="str">
        <v>IJF-13083880</v>
      </c>
      <c r="T12" t="str">
        <v>Garland Chuney</v>
      </c>
      <c r="U12" t="str">
        <v>Negative</v>
      </c>
      <c r="V12">
        <v>3</v>
      </c>
      <c r="W12" s="33">
        <v>45295</v>
      </c>
      <c r="X12" t="str">
        <v>Billing Question</v>
      </c>
      <c r="Y12" t="str">
        <v>Little Rock</v>
      </c>
      <c r="Z12" t="str">
        <v>Arkansas</v>
      </c>
      <c r="AA12" t="str">
        <v>Call-Center</v>
      </c>
      <c r="AB12" t="str">
        <v>Within SLA</v>
      </c>
      <c r="AC12">
        <v>15</v>
      </c>
      <c r="AD12" t="str">
        <v>Baltimore/MD</v>
      </c>
    </row>
    <row r="13" spans="1:85" x14ac:dyDescent="0.3">
      <c r="A13" s="31" t="s">
        <v>335</v>
      </c>
      <c r="B13" s="31" t="s">
        <v>336</v>
      </c>
      <c r="C13" s="31" t="s">
        <v>295</v>
      </c>
      <c r="D13" s="31">
        <v>6</v>
      </c>
      <c r="E13" s="32">
        <v>45296</v>
      </c>
      <c r="F13" s="31" t="s">
        <v>287</v>
      </c>
      <c r="G13" s="31" t="s">
        <v>337</v>
      </c>
      <c r="H13" s="31" t="s">
        <v>303</v>
      </c>
      <c r="I13" s="31" t="s">
        <v>317</v>
      </c>
      <c r="J13" s="31" t="s">
        <v>291</v>
      </c>
      <c r="K13" s="31">
        <v>42</v>
      </c>
      <c r="L13" s="31" t="s">
        <v>299</v>
      </c>
      <c r="S13" t="str">
        <v>ZYX-10467563</v>
      </c>
      <c r="T13" t="str">
        <v>Ginelle Olver</v>
      </c>
      <c r="U13" t="str">
        <v>Neutral</v>
      </c>
      <c r="V13">
        <v>8</v>
      </c>
      <c r="W13" s="33">
        <v>45304</v>
      </c>
      <c r="X13" t="str">
        <v>Billing Question</v>
      </c>
      <c r="Y13" t="str">
        <v>Fort Lauderdale</v>
      </c>
      <c r="Z13" t="str">
        <v>Florida</v>
      </c>
      <c r="AA13" t="str">
        <v>Call-Center</v>
      </c>
      <c r="AB13" t="str">
        <v>Within SLA</v>
      </c>
      <c r="AC13">
        <v>9</v>
      </c>
      <c r="AD13" t="str">
        <v>Chicago/IL</v>
      </c>
    </row>
    <row r="14" spans="1:85" x14ac:dyDescent="0.3">
      <c r="A14" s="31" t="s">
        <v>300</v>
      </c>
      <c r="B14" s="31" t="s">
        <v>301</v>
      </c>
      <c r="C14" s="31" t="s">
        <v>295</v>
      </c>
      <c r="D14" s="31">
        <v>3</v>
      </c>
      <c r="E14" s="32">
        <v>45293</v>
      </c>
      <c r="F14" s="31" t="s">
        <v>287</v>
      </c>
      <c r="G14" s="31" t="s">
        <v>302</v>
      </c>
      <c r="H14" s="31" t="s">
        <v>303</v>
      </c>
      <c r="I14" s="31" t="s">
        <v>290</v>
      </c>
      <c r="J14" s="31" t="s">
        <v>291</v>
      </c>
      <c r="K14" s="31">
        <v>6</v>
      </c>
      <c r="L14" s="31" t="s">
        <v>304</v>
      </c>
      <c r="S14" t="str">
        <v>ROH-40287216</v>
      </c>
      <c r="T14" t="str">
        <v>Harcourt Zoanetti</v>
      </c>
      <c r="U14" t="str">
        <v>Negative</v>
      </c>
      <c r="V14">
        <v>5</v>
      </c>
      <c r="W14" s="33">
        <v>45292</v>
      </c>
      <c r="X14" t="str">
        <v>Billing Question</v>
      </c>
      <c r="Y14" t="str">
        <v>Honolulu</v>
      </c>
      <c r="Z14" t="str">
        <v>Hawaii</v>
      </c>
      <c r="AA14" t="str">
        <v>Call-Center</v>
      </c>
      <c r="AB14" t="str">
        <v>Within SLA</v>
      </c>
      <c r="AC14">
        <v>32</v>
      </c>
      <c r="AD14" t="str">
        <v>Los Angeles/CA</v>
      </c>
    </row>
    <row r="15" spans="1:85" x14ac:dyDescent="0.3">
      <c r="A15" s="31" t="s">
        <v>386</v>
      </c>
      <c r="B15" s="31" t="s">
        <v>387</v>
      </c>
      <c r="C15" s="31" t="s">
        <v>307</v>
      </c>
      <c r="D15" s="31">
        <v>4</v>
      </c>
      <c r="E15" s="32">
        <v>45302</v>
      </c>
      <c r="F15" s="31" t="s">
        <v>388</v>
      </c>
      <c r="G15" s="31" t="s">
        <v>389</v>
      </c>
      <c r="H15" s="31" t="s">
        <v>303</v>
      </c>
      <c r="I15" s="31" t="s">
        <v>290</v>
      </c>
      <c r="J15" s="31" t="s">
        <v>291</v>
      </c>
      <c r="K15" s="31">
        <v>41</v>
      </c>
      <c r="L15" s="31" t="s">
        <v>292</v>
      </c>
      <c r="S15" t="str">
        <v>ZOK-34480332</v>
      </c>
      <c r="T15" t="str">
        <v>Jaye Gribbon</v>
      </c>
      <c r="U15" t="str">
        <v>Neutral</v>
      </c>
      <c r="V15">
        <v>7</v>
      </c>
      <c r="W15" s="33">
        <v>45297</v>
      </c>
      <c r="X15" t="str">
        <v>Billing Question</v>
      </c>
      <c r="Y15" t="str">
        <v>Huntington</v>
      </c>
      <c r="Z15" t="str">
        <v>West Virginia</v>
      </c>
      <c r="AA15" t="str">
        <v>Chatbot</v>
      </c>
      <c r="AB15" t="str">
        <v>Within SLA</v>
      </c>
      <c r="AC15">
        <v>29</v>
      </c>
      <c r="AD15" t="str">
        <v>Baltimore/MD</v>
      </c>
    </row>
    <row r="16" spans="1:85" x14ac:dyDescent="0.3">
      <c r="A16" s="31" t="s">
        <v>377</v>
      </c>
      <c r="B16" s="31" t="s">
        <v>378</v>
      </c>
      <c r="C16" s="31" t="s">
        <v>286</v>
      </c>
      <c r="D16" s="31">
        <v>5</v>
      </c>
      <c r="E16" s="32">
        <v>45300</v>
      </c>
      <c r="F16" s="31" t="s">
        <v>287</v>
      </c>
      <c r="G16" s="31" t="s">
        <v>379</v>
      </c>
      <c r="H16" s="31" t="s">
        <v>309</v>
      </c>
      <c r="I16" s="31" t="s">
        <v>310</v>
      </c>
      <c r="J16" s="31" t="s">
        <v>311</v>
      </c>
      <c r="K16" s="31">
        <v>39</v>
      </c>
      <c r="L16" s="31" t="s">
        <v>299</v>
      </c>
      <c r="S16" t="str">
        <v>BPQ-80812775</v>
      </c>
      <c r="T16" t="str">
        <v>Julee O'Gavin</v>
      </c>
      <c r="U16" t="str">
        <v>Negative</v>
      </c>
      <c r="V16">
        <v>3</v>
      </c>
      <c r="W16" s="33">
        <v>45296</v>
      </c>
      <c r="X16" t="str">
        <v>Billing Question</v>
      </c>
      <c r="Y16" t="str">
        <v>Santa Ana</v>
      </c>
      <c r="Z16" t="str">
        <v>California</v>
      </c>
      <c r="AA16" t="str">
        <v>Chatbot</v>
      </c>
      <c r="AB16" t="str">
        <v>Above SLA</v>
      </c>
      <c r="AC16">
        <v>44</v>
      </c>
      <c r="AD16" t="str">
        <v>Baltimore/MD</v>
      </c>
    </row>
    <row r="17" spans="1:30" x14ac:dyDescent="0.3">
      <c r="A17" s="31" t="s">
        <v>284</v>
      </c>
      <c r="B17" s="31" t="s">
        <v>285</v>
      </c>
      <c r="C17" s="31" t="s">
        <v>286</v>
      </c>
      <c r="D17" s="31">
        <v>8</v>
      </c>
      <c r="E17" s="32">
        <v>45292</v>
      </c>
      <c r="F17" s="31" t="s">
        <v>287</v>
      </c>
      <c r="G17" s="31" t="s">
        <v>288</v>
      </c>
      <c r="H17" s="31" t="s">
        <v>289</v>
      </c>
      <c r="I17" s="31" t="s">
        <v>290</v>
      </c>
      <c r="J17" s="31" t="s">
        <v>291</v>
      </c>
      <c r="K17" s="31">
        <v>14</v>
      </c>
      <c r="L17" s="31" t="s">
        <v>292</v>
      </c>
      <c r="S17" t="str">
        <v>QKL-49133006</v>
      </c>
      <c r="T17" t="str">
        <v>Kassie Elman</v>
      </c>
      <c r="U17" t="str">
        <v>Very Negative</v>
      </c>
      <c r="V17">
        <v>4</v>
      </c>
      <c r="W17" s="33">
        <v>45294</v>
      </c>
      <c r="X17" t="str">
        <v>Billing Question</v>
      </c>
      <c r="Y17" t="str">
        <v>Charleston</v>
      </c>
      <c r="Z17" t="str">
        <v>South Carolina</v>
      </c>
      <c r="AA17" t="str">
        <v>Web</v>
      </c>
      <c r="AB17" t="str">
        <v>Within SLA</v>
      </c>
      <c r="AC17">
        <v>6</v>
      </c>
      <c r="AD17" t="str">
        <v>Baltimore/MD</v>
      </c>
    </row>
    <row r="18" spans="1:30" x14ac:dyDescent="0.3">
      <c r="A18" s="31" t="s">
        <v>373</v>
      </c>
      <c r="B18" s="31" t="s">
        <v>374</v>
      </c>
      <c r="C18" s="31" t="s">
        <v>295</v>
      </c>
      <c r="D18" s="31">
        <v>3</v>
      </c>
      <c r="E18" s="32">
        <v>45300</v>
      </c>
      <c r="F18" s="31" t="s">
        <v>287</v>
      </c>
      <c r="G18" s="31" t="s">
        <v>375</v>
      </c>
      <c r="H18" s="31" t="s">
        <v>376</v>
      </c>
      <c r="I18" s="31" t="s">
        <v>317</v>
      </c>
      <c r="J18" s="31" t="s">
        <v>291</v>
      </c>
      <c r="K18" s="31">
        <v>31</v>
      </c>
      <c r="L18" s="31" t="s">
        <v>299</v>
      </c>
      <c r="S18" t="str">
        <v>VKV-67119644</v>
      </c>
      <c r="T18" t="str">
        <v>Lillis Dewhurst</v>
      </c>
      <c r="U18" t="str">
        <v>Negative</v>
      </c>
      <c r="V18">
        <v>4</v>
      </c>
      <c r="W18" s="33">
        <v>45301</v>
      </c>
      <c r="X18" t="str">
        <v>Billing Question</v>
      </c>
      <c r="Y18" t="str">
        <v>Stockton</v>
      </c>
      <c r="Z18" t="str">
        <v>California</v>
      </c>
      <c r="AA18" t="str">
        <v>Call-Center</v>
      </c>
      <c r="AB18" t="str">
        <v>Above SLA</v>
      </c>
      <c r="AC18">
        <v>44</v>
      </c>
      <c r="AD18" t="str">
        <v>Denver/CO</v>
      </c>
    </row>
    <row r="19" spans="1:30" x14ac:dyDescent="0.3">
      <c r="A19" s="31" t="s">
        <v>318</v>
      </c>
      <c r="B19" s="31" t="s">
        <v>319</v>
      </c>
      <c r="C19" s="31" t="s">
        <v>307</v>
      </c>
      <c r="D19" s="31">
        <v>4</v>
      </c>
      <c r="E19" s="32">
        <v>45294</v>
      </c>
      <c r="F19" s="31" t="s">
        <v>287</v>
      </c>
      <c r="G19" s="31" t="s">
        <v>288</v>
      </c>
      <c r="H19" s="31" t="s">
        <v>320</v>
      </c>
      <c r="I19" s="31" t="s">
        <v>317</v>
      </c>
      <c r="J19" s="31" t="s">
        <v>291</v>
      </c>
      <c r="K19" s="31">
        <v>6</v>
      </c>
      <c r="L19" s="31" t="s">
        <v>321</v>
      </c>
      <c r="S19" t="str">
        <v>PBY-32667898</v>
      </c>
      <c r="T19" t="str">
        <v>Luz Gudgeon</v>
      </c>
      <c r="U19" t="str">
        <v>Very Negative</v>
      </c>
      <c r="V19">
        <v>4</v>
      </c>
      <c r="W19" s="33">
        <v>45302</v>
      </c>
      <c r="X19" t="str">
        <v>Service Outage</v>
      </c>
      <c r="Y19" t="str">
        <v>Corpus Christi</v>
      </c>
      <c r="Z19" t="str">
        <v>Texas</v>
      </c>
      <c r="AA19" t="str">
        <v>Chatbot</v>
      </c>
      <c r="AB19" t="str">
        <v>Within SLA</v>
      </c>
      <c r="AC19">
        <v>41</v>
      </c>
      <c r="AD19" t="str">
        <v>Chicago/IL</v>
      </c>
    </row>
    <row r="20" spans="1:30" x14ac:dyDescent="0.3">
      <c r="A20" s="31" t="s">
        <v>293</v>
      </c>
      <c r="B20" s="31" t="s">
        <v>294</v>
      </c>
      <c r="C20" s="31" t="s">
        <v>295</v>
      </c>
      <c r="D20" s="31">
        <v>5</v>
      </c>
      <c r="E20" s="32">
        <v>45292</v>
      </c>
      <c r="F20" s="31" t="s">
        <v>287</v>
      </c>
      <c r="G20" s="31" t="s">
        <v>296</v>
      </c>
      <c r="H20" s="31" t="s">
        <v>297</v>
      </c>
      <c r="I20" s="31" t="s">
        <v>298</v>
      </c>
      <c r="J20" s="31" t="s">
        <v>291</v>
      </c>
      <c r="K20" s="31">
        <v>32</v>
      </c>
      <c r="L20" s="31" t="s">
        <v>299</v>
      </c>
      <c r="S20" t="str">
        <v>KNO-93249512</v>
      </c>
      <c r="T20" t="str">
        <v>Maggi Simpson</v>
      </c>
      <c r="U20" t="str">
        <v>Positive</v>
      </c>
      <c r="V20">
        <v>9</v>
      </c>
      <c r="W20" s="33">
        <v>45299</v>
      </c>
      <c r="X20" t="str">
        <v>Payments</v>
      </c>
      <c r="Y20" t="str">
        <v>San Francisco</v>
      </c>
      <c r="Z20" t="str">
        <v>California</v>
      </c>
      <c r="AA20" t="str">
        <v>Call-Center</v>
      </c>
      <c r="AB20" t="str">
        <v>Within SLA</v>
      </c>
      <c r="AC20">
        <v>9</v>
      </c>
      <c r="AD20" t="str">
        <v>Baltimore/MD</v>
      </c>
    </row>
    <row r="21" spans="1:30" x14ac:dyDescent="0.3">
      <c r="A21" s="31" t="s">
        <v>365</v>
      </c>
      <c r="B21" s="31" t="s">
        <v>366</v>
      </c>
      <c r="C21" s="31" t="s">
        <v>307</v>
      </c>
      <c r="D21" s="31">
        <v>3</v>
      </c>
      <c r="E21" s="32">
        <v>45299</v>
      </c>
      <c r="F21" s="31" t="s">
        <v>287</v>
      </c>
      <c r="G21" s="31" t="s">
        <v>367</v>
      </c>
      <c r="H21" s="31" t="s">
        <v>368</v>
      </c>
      <c r="I21" s="31" t="s">
        <v>290</v>
      </c>
      <c r="J21" s="31" t="s">
        <v>342</v>
      </c>
      <c r="K21" s="31">
        <v>35</v>
      </c>
      <c r="L21" s="31" t="s">
        <v>292</v>
      </c>
      <c r="S21" t="str">
        <v>IYX-48770048</v>
      </c>
      <c r="T21" t="str">
        <v>Minette Muzzillo</v>
      </c>
      <c r="U21" t="str">
        <v>Very Negative</v>
      </c>
      <c r="V21">
        <v>4</v>
      </c>
      <c r="W21" s="33">
        <v>45303</v>
      </c>
      <c r="X21" t="str">
        <v>Billing Question</v>
      </c>
      <c r="Y21" t="str">
        <v>Colorado Springs</v>
      </c>
      <c r="Z21" t="str">
        <v>Colorado</v>
      </c>
      <c r="AA21" t="str">
        <v>Email</v>
      </c>
      <c r="AB21" t="str">
        <v>Within SLA</v>
      </c>
      <c r="AC21">
        <v>34</v>
      </c>
      <c r="AD21" t="str">
        <v>Los Angeles/CA</v>
      </c>
    </row>
    <row r="22" spans="1:30" x14ac:dyDescent="0.3">
      <c r="A22" s="31" t="s">
        <v>361</v>
      </c>
      <c r="B22" s="31" t="s">
        <v>362</v>
      </c>
      <c r="C22" s="31" t="s">
        <v>324</v>
      </c>
      <c r="D22" s="31">
        <v>9</v>
      </c>
      <c r="E22" s="32">
        <v>45299</v>
      </c>
      <c r="F22" s="31" t="s">
        <v>287</v>
      </c>
      <c r="G22" s="31" t="s">
        <v>363</v>
      </c>
      <c r="H22" s="31" t="s">
        <v>364</v>
      </c>
      <c r="I22" s="31" t="s">
        <v>290</v>
      </c>
      <c r="J22" s="31" t="s">
        <v>291</v>
      </c>
      <c r="K22" s="31">
        <v>8</v>
      </c>
      <c r="L22" s="31" t="s">
        <v>299</v>
      </c>
      <c r="S22" t="str">
        <v>EVO-87671386</v>
      </c>
      <c r="T22" t="str">
        <v>Nanon FitzGilbert</v>
      </c>
      <c r="U22" t="str">
        <v>Very Positive</v>
      </c>
      <c r="V22">
        <v>10</v>
      </c>
      <c r="W22" s="33">
        <v>45303</v>
      </c>
      <c r="X22" t="str">
        <v>Billing Question</v>
      </c>
      <c r="Y22" t="str">
        <v>Abilene</v>
      </c>
      <c r="Z22" t="str">
        <v>Texas</v>
      </c>
      <c r="AA22" t="str">
        <v>Web</v>
      </c>
      <c r="AB22" t="str">
        <v>Below SLA</v>
      </c>
      <c r="AC22">
        <v>36</v>
      </c>
      <c r="AD22" t="str">
        <v>Los Angeles/CA</v>
      </c>
    </row>
    <row r="23" spans="1:30" x14ac:dyDescent="0.3">
      <c r="A23" s="31" t="s">
        <v>383</v>
      </c>
      <c r="B23" s="31" t="s">
        <v>384</v>
      </c>
      <c r="C23" s="31" t="s">
        <v>295</v>
      </c>
      <c r="D23" s="31">
        <v>4</v>
      </c>
      <c r="E23" s="32">
        <v>45301</v>
      </c>
      <c r="F23" s="31" t="s">
        <v>287</v>
      </c>
      <c r="G23" s="31" t="s">
        <v>385</v>
      </c>
      <c r="H23" s="31" t="s">
        <v>341</v>
      </c>
      <c r="I23" s="31" t="s">
        <v>298</v>
      </c>
      <c r="J23" s="31" t="s">
        <v>342</v>
      </c>
      <c r="K23" s="31">
        <v>44</v>
      </c>
      <c r="L23" s="31" t="s">
        <v>304</v>
      </c>
      <c r="S23" t="str">
        <v>JYD-67455825</v>
      </c>
      <c r="T23" t="str">
        <v>Quintilla Hourston</v>
      </c>
      <c r="U23" t="str">
        <v>Negative</v>
      </c>
      <c r="V23">
        <v>6</v>
      </c>
      <c r="W23" s="33">
        <v>45298</v>
      </c>
      <c r="X23" t="str">
        <v>Payments</v>
      </c>
      <c r="Y23" t="str">
        <v>Des Moines</v>
      </c>
      <c r="Z23" t="str">
        <v>Iowa</v>
      </c>
      <c r="AA23" t="str">
        <v>Call-Center</v>
      </c>
      <c r="AB23" t="str">
        <v>Within SLA</v>
      </c>
      <c r="AC23">
        <v>29</v>
      </c>
      <c r="AD23" t="str">
        <v>Los Angeles/CA</v>
      </c>
    </row>
    <row r="24" spans="1:30" x14ac:dyDescent="0.3">
      <c r="A24" s="31" t="s">
        <v>369</v>
      </c>
      <c r="B24" s="31" t="s">
        <v>370</v>
      </c>
      <c r="C24" s="31" t="s">
        <v>314</v>
      </c>
      <c r="D24" s="31">
        <v>7</v>
      </c>
      <c r="E24" s="32">
        <v>45299</v>
      </c>
      <c r="F24" s="31" t="s">
        <v>287</v>
      </c>
      <c r="G24" s="31" t="s">
        <v>371</v>
      </c>
      <c r="H24" s="31" t="s">
        <v>372</v>
      </c>
      <c r="I24" s="31" t="s">
        <v>317</v>
      </c>
      <c r="J24" s="31" t="s">
        <v>291</v>
      </c>
      <c r="K24" s="31">
        <v>20</v>
      </c>
      <c r="L24" s="31" t="s">
        <v>321</v>
      </c>
      <c r="S24" t="str">
        <v>APY-17008648</v>
      </c>
      <c r="T24" t="str">
        <v>Rafe Duffitt</v>
      </c>
      <c r="U24" t="str">
        <v>Very Negative</v>
      </c>
      <c r="V24">
        <v>4</v>
      </c>
      <c r="W24" s="33">
        <v>45293</v>
      </c>
      <c r="X24" t="str">
        <v>Billing Question</v>
      </c>
      <c r="Y24" t="str">
        <v>Fort Myers</v>
      </c>
      <c r="Z24" t="str">
        <v>Florida</v>
      </c>
      <c r="AA24" t="str">
        <v>Email</v>
      </c>
      <c r="AB24" t="str">
        <v>Below SLA</v>
      </c>
      <c r="AC24">
        <v>26</v>
      </c>
      <c r="AD24" t="str">
        <v>Los Angeles/CA</v>
      </c>
    </row>
    <row r="25" spans="1:30" x14ac:dyDescent="0.3">
      <c r="A25" s="31" t="s">
        <v>350</v>
      </c>
      <c r="B25" s="31" t="s">
        <v>351</v>
      </c>
      <c r="C25" s="31" t="s">
        <v>307</v>
      </c>
      <c r="D25" s="31">
        <v>2</v>
      </c>
      <c r="E25" s="32">
        <v>45298</v>
      </c>
      <c r="F25" s="31" t="s">
        <v>287</v>
      </c>
      <c r="G25" s="31" t="s">
        <v>352</v>
      </c>
      <c r="H25" s="31" t="s">
        <v>353</v>
      </c>
      <c r="I25" s="31" t="s">
        <v>317</v>
      </c>
      <c r="J25" s="31" t="s">
        <v>291</v>
      </c>
      <c r="K25" s="31">
        <v>30</v>
      </c>
      <c r="L25" s="31" t="s">
        <v>299</v>
      </c>
      <c r="S25" t="str">
        <v>QCH-83950486</v>
      </c>
      <c r="T25" t="str">
        <v>Sephira Philippart</v>
      </c>
      <c r="U25" t="str">
        <v>Negative</v>
      </c>
      <c r="V25">
        <v>3</v>
      </c>
      <c r="W25" s="33">
        <v>45300</v>
      </c>
      <c r="X25" t="str">
        <v>Billing Question</v>
      </c>
      <c r="Y25" t="str">
        <v>Madison</v>
      </c>
      <c r="Z25" t="str">
        <v>Wisconsin</v>
      </c>
      <c r="AA25" t="str">
        <v>Web</v>
      </c>
      <c r="AB25" t="str">
        <v>Within SLA</v>
      </c>
      <c r="AC25">
        <v>31</v>
      </c>
      <c r="AD25" t="str">
        <v>Los Angeles/CA</v>
      </c>
    </row>
    <row r="26" spans="1:30" x14ac:dyDescent="0.3">
      <c r="A26" s="31" t="s">
        <v>331</v>
      </c>
      <c r="B26" s="31" t="s">
        <v>332</v>
      </c>
      <c r="C26" s="31" t="s">
        <v>295</v>
      </c>
      <c r="D26" s="31">
        <v>3</v>
      </c>
      <c r="E26" s="32">
        <v>45295</v>
      </c>
      <c r="F26" s="31" t="s">
        <v>287</v>
      </c>
      <c r="G26" s="31" t="s">
        <v>333</v>
      </c>
      <c r="H26" s="31" t="s">
        <v>334</v>
      </c>
      <c r="I26" s="31" t="s">
        <v>317</v>
      </c>
      <c r="J26" s="31" t="s">
        <v>291</v>
      </c>
      <c r="K26" s="31">
        <v>12</v>
      </c>
      <c r="L26" s="31" t="s">
        <v>299</v>
      </c>
      <c r="S26" t="str">
        <v>YYO-56445305</v>
      </c>
      <c r="T26" t="str">
        <v>Sibylla Kemet</v>
      </c>
      <c r="U26" t="str">
        <v>Very Negative</v>
      </c>
      <c r="V26">
        <v>2</v>
      </c>
      <c r="W26" s="33">
        <v>45298</v>
      </c>
      <c r="X26" t="str">
        <v>Billing Question</v>
      </c>
      <c r="Y26" t="str">
        <v>Tucson</v>
      </c>
      <c r="Z26" t="str">
        <v>Arizona</v>
      </c>
      <c r="AA26" t="str">
        <v>Web</v>
      </c>
      <c r="AB26" t="str">
        <v>Within SLA</v>
      </c>
      <c r="AC26">
        <v>30</v>
      </c>
      <c r="AD26" t="str">
        <v>Los Angeles/CA</v>
      </c>
    </row>
    <row r="27" spans="1:30" x14ac:dyDescent="0.3">
      <c r="A27" s="31" t="s">
        <v>346</v>
      </c>
      <c r="B27" s="31" t="s">
        <v>347</v>
      </c>
      <c r="C27" s="31" t="s">
        <v>295</v>
      </c>
      <c r="D27" s="31">
        <v>5</v>
      </c>
      <c r="E27" s="32">
        <v>45297</v>
      </c>
      <c r="F27" s="31" t="s">
        <v>287</v>
      </c>
      <c r="G27" s="31" t="s">
        <v>348</v>
      </c>
      <c r="H27" s="31" t="s">
        <v>349</v>
      </c>
      <c r="I27" s="31" t="s">
        <v>290</v>
      </c>
      <c r="J27" s="31" t="s">
        <v>291</v>
      </c>
      <c r="K27" s="31">
        <v>35</v>
      </c>
      <c r="L27" s="31" t="s">
        <v>321</v>
      </c>
      <c r="S27" t="str">
        <v>DZU-03236134</v>
      </c>
      <c r="T27" t="str">
        <v>Tricia Kinnie</v>
      </c>
      <c r="U27" t="str">
        <v>Negative</v>
      </c>
      <c r="V27">
        <v>6</v>
      </c>
      <c r="W27" s="33">
        <v>45304</v>
      </c>
      <c r="X27" t="str">
        <v>Billing Question</v>
      </c>
      <c r="Y27" t="str">
        <v>Shawnee Mission</v>
      </c>
      <c r="Z27" t="str">
        <v>Kansas</v>
      </c>
      <c r="AA27" t="str">
        <v>Call-Center</v>
      </c>
      <c r="AB27" t="str">
        <v>Within SLA</v>
      </c>
      <c r="AC27">
        <v>39</v>
      </c>
      <c r="AD27" t="str">
        <v>Baltimore/MD</v>
      </c>
    </row>
    <row r="28" spans="1:30" x14ac:dyDescent="0.3">
      <c r="A28" s="31" t="s">
        <v>343</v>
      </c>
      <c r="B28" s="31" t="s">
        <v>344</v>
      </c>
      <c r="C28" s="31" t="s">
        <v>286</v>
      </c>
      <c r="D28" s="31">
        <v>7</v>
      </c>
      <c r="E28" s="32">
        <v>45297</v>
      </c>
      <c r="F28" s="31" t="s">
        <v>287</v>
      </c>
      <c r="G28" s="31" t="s">
        <v>345</v>
      </c>
      <c r="H28" s="31" t="s">
        <v>289</v>
      </c>
      <c r="I28" s="31" t="s">
        <v>290</v>
      </c>
      <c r="J28" s="31" t="s">
        <v>291</v>
      </c>
      <c r="K28" s="31">
        <v>29</v>
      </c>
      <c r="L28" s="31" t="s">
        <v>321</v>
      </c>
      <c r="S28" t="str">
        <v>MHK-38443501</v>
      </c>
      <c r="T28" t="str">
        <v>Tris Bent</v>
      </c>
      <c r="U28" t="str">
        <v>Positive</v>
      </c>
      <c r="V28">
        <v>8</v>
      </c>
      <c r="W28" s="33">
        <v>45293</v>
      </c>
      <c r="X28" t="str">
        <v>Billing Question</v>
      </c>
      <c r="Y28" t="str">
        <v>Tuscaloosa</v>
      </c>
      <c r="Z28" t="str">
        <v>Alabama</v>
      </c>
      <c r="AA28" t="str">
        <v>Web</v>
      </c>
      <c r="AB28" t="str">
        <v>Within SLA</v>
      </c>
      <c r="AC28">
        <v>26</v>
      </c>
      <c r="AD28" t="str">
        <v>Los Angeles/CA</v>
      </c>
    </row>
    <row r="29" spans="1:30" x14ac:dyDescent="0.3">
      <c r="A29" s="31" t="s">
        <v>322</v>
      </c>
      <c r="B29" s="31" t="s">
        <v>323</v>
      </c>
      <c r="C29" s="31" t="s">
        <v>324</v>
      </c>
      <c r="D29" s="31">
        <v>10</v>
      </c>
      <c r="E29" s="32">
        <v>45294</v>
      </c>
      <c r="F29" s="31" t="s">
        <v>325</v>
      </c>
      <c r="G29" s="31" t="s">
        <v>326</v>
      </c>
      <c r="H29" s="31" t="s">
        <v>309</v>
      </c>
      <c r="I29" s="31" t="s">
        <v>298</v>
      </c>
      <c r="J29" s="31" t="s">
        <v>291</v>
      </c>
      <c r="K29" s="31">
        <v>9</v>
      </c>
      <c r="L29" s="31" t="s">
        <v>299</v>
      </c>
      <c r="S29" t="str">
        <v>NKC-39578431</v>
      </c>
      <c r="T29" t="str">
        <v>Washington Oxteby</v>
      </c>
      <c r="U29" t="str">
        <v>Negative</v>
      </c>
      <c r="V29">
        <v>3</v>
      </c>
      <c r="W29" s="33">
        <v>45293</v>
      </c>
      <c r="X29" t="str">
        <v>Billing Question</v>
      </c>
      <c r="Y29" t="str">
        <v>Dallas</v>
      </c>
      <c r="Z29" t="str">
        <v>Texas</v>
      </c>
      <c r="AA29" t="str">
        <v>Chatbot</v>
      </c>
      <c r="AB29" t="str">
        <v>Within SLA</v>
      </c>
      <c r="AC29">
        <v>6</v>
      </c>
      <c r="AD29" t="str">
        <v>Denver/CO</v>
      </c>
    </row>
    <row r="30" spans="1:30" x14ac:dyDescent="0.3">
      <c r="A30" s="31" t="s">
        <v>401</v>
      </c>
      <c r="B30" s="31" t="s">
        <v>402</v>
      </c>
      <c r="C30" s="31" t="s">
        <v>286</v>
      </c>
      <c r="D30" s="31">
        <v>8</v>
      </c>
      <c r="E30" s="32">
        <v>45304</v>
      </c>
      <c r="F30" s="31" t="s">
        <v>287</v>
      </c>
      <c r="G30" s="31" t="s">
        <v>403</v>
      </c>
      <c r="H30" s="31" t="s">
        <v>309</v>
      </c>
      <c r="I30" s="31" t="s">
        <v>298</v>
      </c>
      <c r="J30" s="31" t="s">
        <v>291</v>
      </c>
      <c r="K30" s="31">
        <v>9</v>
      </c>
      <c r="L30" s="31" t="s">
        <v>292</v>
      </c>
      <c r="S30" t="str">
        <v>LFZ-17229282</v>
      </c>
      <c r="T30" t="str">
        <v>Zora Keelin</v>
      </c>
      <c r="U30" t="str">
        <v>Negative</v>
      </c>
      <c r="V30">
        <v>3</v>
      </c>
      <c r="W30" s="33">
        <v>45301</v>
      </c>
      <c r="X30" t="str">
        <v>Billing Question</v>
      </c>
      <c r="Y30" t="str">
        <v>Lubbock</v>
      </c>
      <c r="Z30" t="str">
        <v>Texas</v>
      </c>
      <c r="AA30" t="str">
        <v>Call-Center</v>
      </c>
      <c r="AB30" t="str">
        <v>Within SLA</v>
      </c>
      <c r="AC30">
        <v>38</v>
      </c>
      <c r="AD30" t="str">
        <v>Denver/CO</v>
      </c>
    </row>
  </sheetData>
  <sortState xmlns:xlrd2="http://schemas.microsoft.com/office/spreadsheetml/2017/richdata2" ref="A2:L30">
    <sortCondition ref="A1:A30"/>
  </sortState>
  <dataValidations count="1">
    <dataValidation type="list" allowBlank="1" showInputMessage="1" showErrorMessage="1" sqref="BB2" xr:uid="{6EFFAB3D-8FF4-4183-B6F0-0B582C6F5E00}">
      <formula1>$Z:$Z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F1D6-3713-4525-81C8-B7E674DD05D8}">
  <dimension ref="A1:AC31"/>
  <sheetViews>
    <sheetView topLeftCell="I1" workbookViewId="0">
      <selection activeCell="R2" sqref="R2"/>
    </sheetView>
  </sheetViews>
  <sheetFormatPr defaultRowHeight="14.4" x14ac:dyDescent="0.3"/>
  <cols>
    <col min="5" max="5" width="11.44140625" customWidth="1"/>
    <col min="6" max="6" width="13.6640625" bestFit="1" customWidth="1"/>
    <col min="7" max="7" width="15.109375" bestFit="1" customWidth="1"/>
    <col min="12" max="12" width="15.77734375" customWidth="1"/>
  </cols>
  <sheetData>
    <row r="1" spans="1:29" ht="78" x14ac:dyDescent="0.3">
      <c r="A1" s="30" t="s">
        <v>274</v>
      </c>
      <c r="B1" s="30" t="s">
        <v>275</v>
      </c>
      <c r="C1" s="30" t="s">
        <v>276</v>
      </c>
      <c r="D1" s="30" t="s">
        <v>277</v>
      </c>
      <c r="E1" s="30" t="s">
        <v>278</v>
      </c>
      <c r="F1" s="30" t="s">
        <v>279</v>
      </c>
      <c r="G1" s="30" t="s">
        <v>197</v>
      </c>
      <c r="H1" s="30" t="s">
        <v>232</v>
      </c>
      <c r="I1" s="30" t="s">
        <v>280</v>
      </c>
      <c r="J1" s="30" t="s">
        <v>281</v>
      </c>
      <c r="K1" s="30" t="s">
        <v>282</v>
      </c>
      <c r="L1" s="30" t="s">
        <v>283</v>
      </c>
      <c r="R1" s="30" t="s">
        <v>274</v>
      </c>
      <c r="S1" s="30" t="s">
        <v>275</v>
      </c>
      <c r="T1" s="30" t="s">
        <v>276</v>
      </c>
      <c r="U1" s="30" t="s">
        <v>277</v>
      </c>
      <c r="V1" s="30" t="s">
        <v>278</v>
      </c>
      <c r="W1" s="30" t="s">
        <v>279</v>
      </c>
      <c r="X1" s="30" t="s">
        <v>197</v>
      </c>
      <c r="Y1" s="30" t="s">
        <v>232</v>
      </c>
      <c r="Z1" s="30" t="s">
        <v>280</v>
      </c>
      <c r="AA1" s="30" t="s">
        <v>281</v>
      </c>
      <c r="AB1" s="30" t="s">
        <v>282</v>
      </c>
      <c r="AC1" s="30" t="s">
        <v>283</v>
      </c>
    </row>
    <row r="2" spans="1:29" x14ac:dyDescent="0.3">
      <c r="A2" s="31" t="s">
        <v>305</v>
      </c>
      <c r="B2" s="31" t="s">
        <v>306</v>
      </c>
      <c r="C2" s="31" t="s">
        <v>307</v>
      </c>
      <c r="D2" s="31">
        <v>4</v>
      </c>
      <c r="E2" s="32">
        <v>45293</v>
      </c>
      <c r="F2" s="31" t="s">
        <v>287</v>
      </c>
      <c r="G2" s="31" t="s">
        <v>308</v>
      </c>
      <c r="H2" s="31" t="s">
        <v>309</v>
      </c>
      <c r="I2" s="31" t="s">
        <v>310</v>
      </c>
      <c r="J2" s="31" t="s">
        <v>311</v>
      </c>
      <c r="K2" s="31">
        <v>26</v>
      </c>
      <c r="L2" s="31" t="s">
        <v>299</v>
      </c>
      <c r="R2" t="e" cm="1">
        <f t="array" aca="1" ref="R2" ca="1">TAKE(A2:L30,1)</f>
        <v>#NAME?</v>
      </c>
    </row>
    <row r="3" spans="1:29" x14ac:dyDescent="0.3">
      <c r="A3" s="31" t="s">
        <v>338</v>
      </c>
      <c r="B3" s="31" t="s">
        <v>339</v>
      </c>
      <c r="C3" s="31" t="s">
        <v>295</v>
      </c>
      <c r="D3" s="31">
        <v>3</v>
      </c>
      <c r="E3" s="32">
        <v>45296</v>
      </c>
      <c r="F3" s="31" t="s">
        <v>287</v>
      </c>
      <c r="G3" s="31" t="s">
        <v>340</v>
      </c>
      <c r="H3" s="31" t="s">
        <v>341</v>
      </c>
      <c r="I3" s="31" t="s">
        <v>290</v>
      </c>
      <c r="J3" s="31" t="s">
        <v>342</v>
      </c>
      <c r="K3" s="31">
        <v>44</v>
      </c>
      <c r="L3" s="31" t="s">
        <v>321</v>
      </c>
    </row>
    <row r="4" spans="1:29" x14ac:dyDescent="0.3">
      <c r="A4" s="31" t="s">
        <v>404</v>
      </c>
      <c r="B4" s="31" t="s">
        <v>405</v>
      </c>
      <c r="C4" s="31" t="s">
        <v>295</v>
      </c>
      <c r="D4" s="31">
        <v>6</v>
      </c>
      <c r="E4" s="32">
        <v>45304</v>
      </c>
      <c r="F4" s="31" t="s">
        <v>287</v>
      </c>
      <c r="G4" s="31" t="s">
        <v>406</v>
      </c>
      <c r="H4" s="31" t="s">
        <v>407</v>
      </c>
      <c r="I4" s="31" t="s">
        <v>298</v>
      </c>
      <c r="J4" s="31" t="s">
        <v>291</v>
      </c>
      <c r="K4" s="31">
        <v>39</v>
      </c>
      <c r="L4" s="31" t="s">
        <v>321</v>
      </c>
    </row>
    <row r="5" spans="1:29" x14ac:dyDescent="0.3">
      <c r="A5" s="31" t="s">
        <v>398</v>
      </c>
      <c r="B5" s="31" t="s">
        <v>399</v>
      </c>
      <c r="C5" s="31" t="s">
        <v>324</v>
      </c>
      <c r="D5" s="31">
        <v>10</v>
      </c>
      <c r="E5" s="32">
        <v>45303</v>
      </c>
      <c r="F5" s="31" t="s">
        <v>287</v>
      </c>
      <c r="G5" s="31" t="s">
        <v>400</v>
      </c>
      <c r="H5" s="31" t="s">
        <v>303</v>
      </c>
      <c r="I5" s="31" t="s">
        <v>317</v>
      </c>
      <c r="J5" s="31" t="s">
        <v>311</v>
      </c>
      <c r="K5" s="31">
        <v>36</v>
      </c>
      <c r="L5" s="31" t="s">
        <v>299</v>
      </c>
    </row>
    <row r="6" spans="1:29" x14ac:dyDescent="0.3">
      <c r="A6" s="31" t="s">
        <v>390</v>
      </c>
      <c r="B6" s="31" t="s">
        <v>391</v>
      </c>
      <c r="C6" s="31" t="s">
        <v>307</v>
      </c>
      <c r="D6" s="31">
        <v>4</v>
      </c>
      <c r="E6" s="32">
        <v>45302</v>
      </c>
      <c r="F6" s="31" t="s">
        <v>287</v>
      </c>
      <c r="G6" s="31" t="s">
        <v>392</v>
      </c>
      <c r="H6" s="31" t="s">
        <v>393</v>
      </c>
      <c r="I6" s="31" t="s">
        <v>290</v>
      </c>
      <c r="J6" s="31" t="s">
        <v>291</v>
      </c>
      <c r="K6" s="31">
        <v>7</v>
      </c>
      <c r="L6" s="31" t="s">
        <v>321</v>
      </c>
    </row>
    <row r="7" spans="1:29" x14ac:dyDescent="0.3">
      <c r="A7" s="31" t="s">
        <v>327</v>
      </c>
      <c r="B7" s="31" t="s">
        <v>328</v>
      </c>
      <c r="C7" s="31" t="s">
        <v>295</v>
      </c>
      <c r="D7" s="31">
        <v>3</v>
      </c>
      <c r="E7" s="32">
        <v>45295</v>
      </c>
      <c r="F7" s="31" t="s">
        <v>287</v>
      </c>
      <c r="G7" s="31" t="s">
        <v>329</v>
      </c>
      <c r="H7" s="31" t="s">
        <v>330</v>
      </c>
      <c r="I7" s="31" t="s">
        <v>298</v>
      </c>
      <c r="J7" s="31" t="s">
        <v>291</v>
      </c>
      <c r="K7" s="31">
        <v>15</v>
      </c>
      <c r="L7" s="31" t="s">
        <v>321</v>
      </c>
    </row>
    <row r="8" spans="1:29" x14ac:dyDescent="0.3">
      <c r="A8" s="31" t="s">
        <v>394</v>
      </c>
      <c r="B8" s="31" t="s">
        <v>395</v>
      </c>
      <c r="C8" s="31" t="s">
        <v>307</v>
      </c>
      <c r="D8" s="31">
        <v>4</v>
      </c>
      <c r="E8" s="32">
        <v>45303</v>
      </c>
      <c r="F8" s="31" t="s">
        <v>287</v>
      </c>
      <c r="G8" s="31" t="s">
        <v>396</v>
      </c>
      <c r="H8" s="31" t="s">
        <v>397</v>
      </c>
      <c r="I8" s="31" t="s">
        <v>310</v>
      </c>
      <c r="J8" s="31" t="s">
        <v>291</v>
      </c>
      <c r="K8" s="31">
        <v>34</v>
      </c>
      <c r="L8" s="31" t="s">
        <v>299</v>
      </c>
    </row>
    <row r="9" spans="1:29" x14ac:dyDescent="0.3">
      <c r="A9" s="31" t="s">
        <v>354</v>
      </c>
      <c r="B9" s="31" t="s">
        <v>355</v>
      </c>
      <c r="C9" s="31" t="s">
        <v>295</v>
      </c>
      <c r="D9" s="31">
        <v>6</v>
      </c>
      <c r="E9" s="32">
        <v>45298</v>
      </c>
      <c r="F9" s="31" t="s">
        <v>325</v>
      </c>
      <c r="G9" s="31" t="s">
        <v>356</v>
      </c>
      <c r="H9" s="31" t="s">
        <v>357</v>
      </c>
      <c r="I9" s="31" t="s">
        <v>298</v>
      </c>
      <c r="J9" s="31" t="s">
        <v>291</v>
      </c>
      <c r="K9" s="31">
        <v>29</v>
      </c>
      <c r="L9" s="31" t="s">
        <v>299</v>
      </c>
    </row>
    <row r="10" spans="1:29" x14ac:dyDescent="0.3">
      <c r="A10" s="31" t="s">
        <v>358</v>
      </c>
      <c r="B10" s="31" t="s">
        <v>359</v>
      </c>
      <c r="C10" s="31" t="s">
        <v>314</v>
      </c>
      <c r="D10" s="31">
        <v>9</v>
      </c>
      <c r="E10" s="32">
        <v>45299</v>
      </c>
      <c r="F10" s="31" t="s">
        <v>325</v>
      </c>
      <c r="G10" s="31" t="s">
        <v>360</v>
      </c>
      <c r="H10" s="31" t="s">
        <v>341</v>
      </c>
      <c r="I10" s="31" t="s">
        <v>298</v>
      </c>
      <c r="J10" s="31" t="s">
        <v>291</v>
      </c>
      <c r="K10" s="31">
        <v>9</v>
      </c>
      <c r="L10" s="31" t="s">
        <v>321</v>
      </c>
    </row>
    <row r="11" spans="1:29" x14ac:dyDescent="0.3">
      <c r="A11" s="31" t="s">
        <v>380</v>
      </c>
      <c r="B11" s="31" t="s">
        <v>381</v>
      </c>
      <c r="C11" s="31" t="s">
        <v>295</v>
      </c>
      <c r="D11" s="31">
        <v>3</v>
      </c>
      <c r="E11" s="32">
        <v>45301</v>
      </c>
      <c r="F11" s="31" t="s">
        <v>287</v>
      </c>
      <c r="G11" s="31" t="s">
        <v>382</v>
      </c>
      <c r="H11" s="31" t="s">
        <v>303</v>
      </c>
      <c r="I11" s="31" t="s">
        <v>298</v>
      </c>
      <c r="J11" s="31" t="s">
        <v>291</v>
      </c>
      <c r="K11" s="31">
        <v>38</v>
      </c>
      <c r="L11" s="31" t="s">
        <v>304</v>
      </c>
    </row>
    <row r="12" spans="1:29" x14ac:dyDescent="0.3">
      <c r="A12" s="31" t="s">
        <v>312</v>
      </c>
      <c r="B12" s="31" t="s">
        <v>313</v>
      </c>
      <c r="C12" s="31" t="s">
        <v>314</v>
      </c>
      <c r="D12" s="31">
        <v>8</v>
      </c>
      <c r="E12" s="32">
        <v>45293</v>
      </c>
      <c r="F12" s="31" t="s">
        <v>287</v>
      </c>
      <c r="G12" s="31" t="s">
        <v>315</v>
      </c>
      <c r="H12" s="31" t="s">
        <v>316</v>
      </c>
      <c r="I12" s="31" t="s">
        <v>317</v>
      </c>
      <c r="J12" s="31" t="s">
        <v>291</v>
      </c>
      <c r="K12" s="31">
        <v>26</v>
      </c>
      <c r="L12" s="31" t="s">
        <v>299</v>
      </c>
    </row>
    <row r="13" spans="1:29" x14ac:dyDescent="0.3">
      <c r="A13" s="31" t="s">
        <v>335</v>
      </c>
      <c r="B13" s="31" t="s">
        <v>336</v>
      </c>
      <c r="C13" s="31" t="s">
        <v>295</v>
      </c>
      <c r="D13" s="31">
        <v>6</v>
      </c>
      <c r="E13" s="32">
        <v>45296</v>
      </c>
      <c r="F13" s="31" t="s">
        <v>287</v>
      </c>
      <c r="G13" s="31" t="s">
        <v>337</v>
      </c>
      <c r="H13" s="31" t="s">
        <v>303</v>
      </c>
      <c r="I13" s="31" t="s">
        <v>317</v>
      </c>
      <c r="J13" s="31" t="s">
        <v>291</v>
      </c>
      <c r="K13" s="31">
        <v>42</v>
      </c>
      <c r="L13" s="31" t="s">
        <v>299</v>
      </c>
    </row>
    <row r="14" spans="1:29" x14ac:dyDescent="0.3">
      <c r="A14" s="31" t="s">
        <v>300</v>
      </c>
      <c r="B14" s="31" t="s">
        <v>301</v>
      </c>
      <c r="C14" s="31" t="s">
        <v>295</v>
      </c>
      <c r="D14" s="31">
        <v>3</v>
      </c>
      <c r="E14" s="32">
        <v>45293</v>
      </c>
      <c r="F14" s="31" t="s">
        <v>287</v>
      </c>
      <c r="G14" s="31" t="s">
        <v>302</v>
      </c>
      <c r="H14" s="31" t="s">
        <v>303</v>
      </c>
      <c r="I14" s="31" t="s">
        <v>290</v>
      </c>
      <c r="J14" s="31" t="s">
        <v>291</v>
      </c>
      <c r="K14" s="31">
        <v>6</v>
      </c>
      <c r="L14" s="31" t="s">
        <v>304</v>
      </c>
    </row>
    <row r="15" spans="1:29" x14ac:dyDescent="0.3">
      <c r="A15" s="31" t="s">
        <v>386</v>
      </c>
      <c r="B15" s="31" t="s">
        <v>387</v>
      </c>
      <c r="C15" s="31" t="s">
        <v>307</v>
      </c>
      <c r="D15" s="31">
        <v>4</v>
      </c>
      <c r="E15" s="32">
        <v>45302</v>
      </c>
      <c r="F15" s="31" t="s">
        <v>388</v>
      </c>
      <c r="G15" s="31" t="s">
        <v>389</v>
      </c>
      <c r="H15" s="31" t="s">
        <v>303</v>
      </c>
      <c r="I15" s="31" t="s">
        <v>290</v>
      </c>
      <c r="J15" s="31" t="s">
        <v>291</v>
      </c>
      <c r="K15" s="31">
        <v>41</v>
      </c>
      <c r="L15" s="31" t="s">
        <v>292</v>
      </c>
    </row>
    <row r="16" spans="1:29" x14ac:dyDescent="0.3">
      <c r="A16" s="31" t="s">
        <v>377</v>
      </c>
      <c r="B16" s="31" t="s">
        <v>378</v>
      </c>
      <c r="C16" s="31" t="s">
        <v>286</v>
      </c>
      <c r="D16" s="31">
        <v>5</v>
      </c>
      <c r="E16" s="32">
        <v>45300</v>
      </c>
      <c r="F16" s="31" t="s">
        <v>287</v>
      </c>
      <c r="G16" s="31" t="s">
        <v>379</v>
      </c>
      <c r="H16" s="31" t="s">
        <v>309</v>
      </c>
      <c r="I16" s="31" t="s">
        <v>310</v>
      </c>
      <c r="J16" s="31" t="s">
        <v>311</v>
      </c>
      <c r="K16" s="31">
        <v>39</v>
      </c>
      <c r="L16" s="31" t="s">
        <v>299</v>
      </c>
    </row>
    <row r="17" spans="1:12" x14ac:dyDescent="0.3">
      <c r="A17" s="31" t="s">
        <v>284</v>
      </c>
      <c r="B17" s="31" t="s">
        <v>285</v>
      </c>
      <c r="C17" s="31" t="s">
        <v>286</v>
      </c>
      <c r="D17" s="31">
        <v>8</v>
      </c>
      <c r="E17" s="32">
        <v>45292</v>
      </c>
      <c r="F17" s="31" t="s">
        <v>287</v>
      </c>
      <c r="G17" s="31" t="s">
        <v>288</v>
      </c>
      <c r="H17" s="31" t="s">
        <v>289</v>
      </c>
      <c r="I17" s="31" t="s">
        <v>290</v>
      </c>
      <c r="J17" s="31" t="s">
        <v>291</v>
      </c>
      <c r="K17" s="31">
        <v>14</v>
      </c>
      <c r="L17" s="31" t="s">
        <v>292</v>
      </c>
    </row>
    <row r="18" spans="1:12" x14ac:dyDescent="0.3">
      <c r="A18" s="31" t="s">
        <v>373</v>
      </c>
      <c r="B18" s="31" t="s">
        <v>374</v>
      </c>
      <c r="C18" s="31" t="s">
        <v>295</v>
      </c>
      <c r="D18" s="31">
        <v>3</v>
      </c>
      <c r="E18" s="32">
        <v>45300</v>
      </c>
      <c r="F18" s="31" t="s">
        <v>287</v>
      </c>
      <c r="G18" s="31" t="s">
        <v>375</v>
      </c>
      <c r="H18" s="31" t="s">
        <v>376</v>
      </c>
      <c r="I18" s="31" t="s">
        <v>317</v>
      </c>
      <c r="J18" s="31" t="s">
        <v>291</v>
      </c>
      <c r="K18" s="31">
        <v>31</v>
      </c>
      <c r="L18" s="31" t="s">
        <v>299</v>
      </c>
    </row>
    <row r="19" spans="1:12" x14ac:dyDescent="0.3">
      <c r="A19" s="31" t="s">
        <v>318</v>
      </c>
      <c r="B19" s="31" t="s">
        <v>319</v>
      </c>
      <c r="C19" s="31" t="s">
        <v>307</v>
      </c>
      <c r="D19" s="31">
        <v>4</v>
      </c>
      <c r="E19" s="32">
        <v>45294</v>
      </c>
      <c r="F19" s="31" t="s">
        <v>287</v>
      </c>
      <c r="G19" s="31" t="s">
        <v>288</v>
      </c>
      <c r="H19" s="31" t="s">
        <v>320</v>
      </c>
      <c r="I19" s="31" t="s">
        <v>317</v>
      </c>
      <c r="J19" s="31" t="s">
        <v>291</v>
      </c>
      <c r="K19" s="31">
        <v>6</v>
      </c>
      <c r="L19" s="31" t="s">
        <v>321</v>
      </c>
    </row>
    <row r="20" spans="1:12" x14ac:dyDescent="0.3">
      <c r="A20" s="31" t="s">
        <v>293</v>
      </c>
      <c r="B20" s="31" t="s">
        <v>294</v>
      </c>
      <c r="C20" s="31" t="s">
        <v>295</v>
      </c>
      <c r="D20" s="31">
        <v>5</v>
      </c>
      <c r="E20" s="32">
        <v>45292</v>
      </c>
      <c r="F20" s="31" t="s">
        <v>287</v>
      </c>
      <c r="G20" s="31" t="s">
        <v>296</v>
      </c>
      <c r="H20" s="31" t="s">
        <v>297</v>
      </c>
      <c r="I20" s="31" t="s">
        <v>298</v>
      </c>
      <c r="J20" s="31" t="s">
        <v>291</v>
      </c>
      <c r="K20" s="31">
        <v>32</v>
      </c>
      <c r="L20" s="31" t="s">
        <v>299</v>
      </c>
    </row>
    <row r="21" spans="1:12" x14ac:dyDescent="0.3">
      <c r="A21" s="31" t="s">
        <v>365</v>
      </c>
      <c r="B21" s="31" t="s">
        <v>366</v>
      </c>
      <c r="C21" s="31" t="s">
        <v>307</v>
      </c>
      <c r="D21" s="31">
        <v>3</v>
      </c>
      <c r="E21" s="32">
        <v>45299</v>
      </c>
      <c r="F21" s="31" t="s">
        <v>287</v>
      </c>
      <c r="G21" s="31" t="s">
        <v>367</v>
      </c>
      <c r="H21" s="31" t="s">
        <v>368</v>
      </c>
      <c r="I21" s="31" t="s">
        <v>290</v>
      </c>
      <c r="J21" s="31" t="s">
        <v>342</v>
      </c>
      <c r="K21" s="31">
        <v>35</v>
      </c>
      <c r="L21" s="31" t="s">
        <v>292</v>
      </c>
    </row>
    <row r="22" spans="1:12" x14ac:dyDescent="0.3">
      <c r="A22" s="31" t="s">
        <v>361</v>
      </c>
      <c r="B22" s="31" t="s">
        <v>362</v>
      </c>
      <c r="C22" s="31" t="s">
        <v>324</v>
      </c>
      <c r="D22" s="31">
        <v>9</v>
      </c>
      <c r="E22" s="32">
        <v>45299</v>
      </c>
      <c r="F22" s="31" t="s">
        <v>287</v>
      </c>
      <c r="G22" s="31" t="s">
        <v>363</v>
      </c>
      <c r="H22" s="31" t="s">
        <v>364</v>
      </c>
      <c r="I22" s="31" t="s">
        <v>290</v>
      </c>
      <c r="J22" s="31" t="s">
        <v>291</v>
      </c>
      <c r="K22" s="31">
        <v>8</v>
      </c>
      <c r="L22" s="31" t="s">
        <v>299</v>
      </c>
    </row>
    <row r="23" spans="1:12" x14ac:dyDescent="0.3">
      <c r="A23" s="31" t="s">
        <v>383</v>
      </c>
      <c r="B23" s="31" t="s">
        <v>384</v>
      </c>
      <c r="C23" s="31" t="s">
        <v>295</v>
      </c>
      <c r="D23" s="31">
        <v>4</v>
      </c>
      <c r="E23" s="32">
        <v>45301</v>
      </c>
      <c r="F23" s="31" t="s">
        <v>287</v>
      </c>
      <c r="G23" s="31" t="s">
        <v>385</v>
      </c>
      <c r="H23" s="31" t="s">
        <v>341</v>
      </c>
      <c r="I23" s="31" t="s">
        <v>298</v>
      </c>
      <c r="J23" s="31" t="s">
        <v>342</v>
      </c>
      <c r="K23" s="31">
        <v>44</v>
      </c>
      <c r="L23" s="31" t="s">
        <v>304</v>
      </c>
    </row>
    <row r="24" spans="1:12" x14ac:dyDescent="0.3">
      <c r="A24" s="31" t="s">
        <v>369</v>
      </c>
      <c r="B24" s="31" t="s">
        <v>370</v>
      </c>
      <c r="C24" s="31" t="s">
        <v>314</v>
      </c>
      <c r="D24" s="31">
        <v>7</v>
      </c>
      <c r="E24" s="32">
        <v>45299</v>
      </c>
      <c r="F24" s="31" t="s">
        <v>287</v>
      </c>
      <c r="G24" s="31" t="s">
        <v>371</v>
      </c>
      <c r="H24" s="31" t="s">
        <v>372</v>
      </c>
      <c r="I24" s="31" t="s">
        <v>317</v>
      </c>
      <c r="J24" s="31" t="s">
        <v>291</v>
      </c>
      <c r="K24" s="31">
        <v>20</v>
      </c>
      <c r="L24" s="31" t="s">
        <v>321</v>
      </c>
    </row>
    <row r="25" spans="1:12" x14ac:dyDescent="0.3">
      <c r="A25" s="31" t="s">
        <v>350</v>
      </c>
      <c r="B25" s="31" t="s">
        <v>351</v>
      </c>
      <c r="C25" s="31" t="s">
        <v>307</v>
      </c>
      <c r="D25" s="31">
        <v>2</v>
      </c>
      <c r="E25" s="32">
        <v>45298</v>
      </c>
      <c r="F25" s="31" t="s">
        <v>287</v>
      </c>
      <c r="G25" s="31" t="s">
        <v>352</v>
      </c>
      <c r="H25" s="31" t="s">
        <v>353</v>
      </c>
      <c r="I25" s="31" t="s">
        <v>317</v>
      </c>
      <c r="J25" s="31" t="s">
        <v>291</v>
      </c>
      <c r="K25" s="31">
        <v>30</v>
      </c>
      <c r="L25" s="31" t="s">
        <v>299</v>
      </c>
    </row>
    <row r="26" spans="1:12" x14ac:dyDescent="0.3">
      <c r="A26" s="31" t="s">
        <v>331</v>
      </c>
      <c r="B26" s="31" t="s">
        <v>332</v>
      </c>
      <c r="C26" s="31" t="s">
        <v>295</v>
      </c>
      <c r="D26" s="31">
        <v>3</v>
      </c>
      <c r="E26" s="32">
        <v>45295</v>
      </c>
      <c r="F26" s="31" t="s">
        <v>287</v>
      </c>
      <c r="G26" s="31" t="s">
        <v>333</v>
      </c>
      <c r="H26" s="31" t="s">
        <v>334</v>
      </c>
      <c r="I26" s="31" t="s">
        <v>317</v>
      </c>
      <c r="J26" s="31" t="s">
        <v>291</v>
      </c>
      <c r="K26" s="31">
        <v>12</v>
      </c>
      <c r="L26" s="31" t="s">
        <v>299</v>
      </c>
    </row>
    <row r="27" spans="1:12" x14ac:dyDescent="0.3">
      <c r="A27" s="31" t="s">
        <v>346</v>
      </c>
      <c r="B27" s="31" t="s">
        <v>347</v>
      </c>
      <c r="C27" s="31" t="s">
        <v>295</v>
      </c>
      <c r="D27" s="31">
        <v>5</v>
      </c>
      <c r="E27" s="32">
        <v>45297</v>
      </c>
      <c r="F27" s="31" t="s">
        <v>287</v>
      </c>
      <c r="G27" s="31" t="s">
        <v>348</v>
      </c>
      <c r="H27" s="31" t="s">
        <v>349</v>
      </c>
      <c r="I27" s="31" t="s">
        <v>290</v>
      </c>
      <c r="J27" s="31" t="s">
        <v>291</v>
      </c>
      <c r="K27" s="31">
        <v>35</v>
      </c>
      <c r="L27" s="31" t="s">
        <v>321</v>
      </c>
    </row>
    <row r="28" spans="1:12" x14ac:dyDescent="0.3">
      <c r="A28" s="31" t="s">
        <v>343</v>
      </c>
      <c r="B28" s="31" t="s">
        <v>344</v>
      </c>
      <c r="C28" s="31" t="s">
        <v>286</v>
      </c>
      <c r="D28" s="31">
        <v>7</v>
      </c>
      <c r="E28" s="32">
        <v>45297</v>
      </c>
      <c r="F28" s="31" t="s">
        <v>287</v>
      </c>
      <c r="G28" s="31" t="s">
        <v>345</v>
      </c>
      <c r="H28" s="31" t="s">
        <v>289</v>
      </c>
      <c r="I28" s="31" t="s">
        <v>290</v>
      </c>
      <c r="J28" s="31" t="s">
        <v>291</v>
      </c>
      <c r="K28" s="31">
        <v>29</v>
      </c>
      <c r="L28" s="31" t="s">
        <v>321</v>
      </c>
    </row>
    <row r="29" spans="1:12" x14ac:dyDescent="0.3">
      <c r="A29" s="31" t="s">
        <v>322</v>
      </c>
      <c r="B29" s="31" t="s">
        <v>323</v>
      </c>
      <c r="C29" s="31" t="s">
        <v>324</v>
      </c>
      <c r="D29" s="31">
        <v>10</v>
      </c>
      <c r="E29" s="32">
        <v>45294</v>
      </c>
      <c r="F29" s="31" t="s">
        <v>325</v>
      </c>
      <c r="G29" s="31" t="s">
        <v>326</v>
      </c>
      <c r="H29" s="31" t="s">
        <v>309</v>
      </c>
      <c r="I29" s="31" t="s">
        <v>298</v>
      </c>
      <c r="J29" s="31" t="s">
        <v>291</v>
      </c>
      <c r="K29" s="31">
        <v>9</v>
      </c>
      <c r="L29" s="31" t="s">
        <v>299</v>
      </c>
    </row>
    <row r="30" spans="1:12" x14ac:dyDescent="0.3">
      <c r="A30" s="31" t="s">
        <v>401</v>
      </c>
      <c r="B30" s="31" t="s">
        <v>402</v>
      </c>
      <c r="C30" s="31" t="s">
        <v>286</v>
      </c>
      <c r="D30" s="31">
        <v>8</v>
      </c>
      <c r="E30" s="32">
        <v>45304</v>
      </c>
      <c r="F30" s="31" t="s">
        <v>287</v>
      </c>
      <c r="G30" s="31" t="s">
        <v>403</v>
      </c>
      <c r="H30" s="31" t="s">
        <v>309</v>
      </c>
      <c r="I30" s="31" t="s">
        <v>298</v>
      </c>
      <c r="J30" s="31" t="s">
        <v>291</v>
      </c>
      <c r="K30" s="31">
        <v>9</v>
      </c>
      <c r="L30" s="31" t="s">
        <v>292</v>
      </c>
    </row>
    <row r="31" spans="1:12" x14ac:dyDescent="0.3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D5BF6-CECE-460B-BF85-17C83F0A1237}">
  <dimension ref="A1:E15"/>
  <sheetViews>
    <sheetView workbookViewId="0">
      <selection activeCell="E2" sqref="E2:E15"/>
    </sheetView>
  </sheetViews>
  <sheetFormatPr defaultRowHeight="14.4" x14ac:dyDescent="0.3"/>
  <cols>
    <col min="1" max="1" width="10" customWidth="1"/>
    <col min="4" max="4" width="10.21875" customWidth="1"/>
    <col min="5" max="5" width="13.21875" customWidth="1"/>
  </cols>
  <sheetData>
    <row r="1" spans="1:5" x14ac:dyDescent="0.3">
      <c r="A1" s="6" t="s">
        <v>71</v>
      </c>
      <c r="B1" s="6" t="s">
        <v>72</v>
      </c>
      <c r="C1" s="6" t="s">
        <v>73</v>
      </c>
      <c r="D1" s="6" t="s">
        <v>74</v>
      </c>
      <c r="E1" s="6" t="s">
        <v>206</v>
      </c>
    </row>
    <row r="2" spans="1:5" x14ac:dyDescent="0.3">
      <c r="A2">
        <v>12</v>
      </c>
      <c r="B2" t="s">
        <v>207</v>
      </c>
      <c r="C2" t="s">
        <v>208</v>
      </c>
      <c r="D2">
        <v>123456</v>
      </c>
      <c r="E2">
        <v>1234567891</v>
      </c>
    </row>
    <row r="3" spans="1:5" x14ac:dyDescent="0.3">
      <c r="A3">
        <v>13</v>
      </c>
      <c r="E3">
        <v>1234567892</v>
      </c>
    </row>
    <row r="4" spans="1:5" x14ac:dyDescent="0.3">
      <c r="A4">
        <v>14</v>
      </c>
      <c r="E4">
        <v>1234567893</v>
      </c>
    </row>
    <row r="5" spans="1:5" x14ac:dyDescent="0.3">
      <c r="A5">
        <v>15</v>
      </c>
      <c r="E5">
        <v>1234567894</v>
      </c>
    </row>
    <row r="6" spans="1:5" x14ac:dyDescent="0.3">
      <c r="A6">
        <v>16</v>
      </c>
      <c r="E6">
        <v>1234567895</v>
      </c>
    </row>
    <row r="7" spans="1:5" x14ac:dyDescent="0.3">
      <c r="A7">
        <v>17</v>
      </c>
      <c r="E7">
        <v>1234567896</v>
      </c>
    </row>
    <row r="8" spans="1:5" x14ac:dyDescent="0.3">
      <c r="A8">
        <v>18</v>
      </c>
      <c r="E8">
        <v>1234567897</v>
      </c>
    </row>
    <row r="9" spans="1:5" x14ac:dyDescent="0.3">
      <c r="A9">
        <v>19</v>
      </c>
      <c r="E9">
        <v>1234567898</v>
      </c>
    </row>
    <row r="10" spans="1:5" x14ac:dyDescent="0.3">
      <c r="A10">
        <v>20</v>
      </c>
      <c r="E10">
        <v>1234567899</v>
      </c>
    </row>
    <row r="11" spans="1:5" x14ac:dyDescent="0.3">
      <c r="A11">
        <v>21</v>
      </c>
      <c r="E11">
        <v>1234567900</v>
      </c>
    </row>
    <row r="12" spans="1:5" x14ac:dyDescent="0.3">
      <c r="A12">
        <v>22</v>
      </c>
      <c r="E12">
        <v>1234567901</v>
      </c>
    </row>
    <row r="13" spans="1:5" x14ac:dyDescent="0.3">
      <c r="A13">
        <v>23</v>
      </c>
      <c r="E13">
        <v>1234567902</v>
      </c>
    </row>
    <row r="14" spans="1:5" x14ac:dyDescent="0.3">
      <c r="A14">
        <v>24</v>
      </c>
      <c r="E14">
        <v>1234567903</v>
      </c>
    </row>
    <row r="15" spans="1:5" x14ac:dyDescent="0.3">
      <c r="A15">
        <v>25</v>
      </c>
      <c r="E15">
        <v>1234567904</v>
      </c>
    </row>
  </sheetData>
  <dataValidations count="1">
    <dataValidation type="textLength" allowBlank="1" showInputMessage="1" showErrorMessage="1" sqref="B7 E2:E15" xr:uid="{4732C88C-FAAA-43D4-B46E-1D81AFB1CC4B}">
      <formula1>10</formula1>
      <formula2>10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BBD4C-27E1-4952-BA40-5FE409E80A2C}">
  <dimension ref="A1:L24"/>
  <sheetViews>
    <sheetView tabSelected="1" workbookViewId="0">
      <selection activeCell="E2" sqref="E2"/>
    </sheetView>
  </sheetViews>
  <sheetFormatPr defaultRowHeight="14.4" x14ac:dyDescent="0.3"/>
  <cols>
    <col min="1" max="1" width="12.5546875" customWidth="1"/>
    <col min="2" max="3" width="12.6640625" customWidth="1"/>
    <col min="4" max="4" width="16.21875" customWidth="1"/>
    <col min="5" max="5" width="20.77734375" customWidth="1"/>
    <col min="6" max="6" width="15.33203125" customWidth="1"/>
    <col min="11" max="11" width="15" customWidth="1"/>
    <col min="12" max="12" width="12.109375" customWidth="1"/>
  </cols>
  <sheetData>
    <row r="1" spans="1:12" x14ac:dyDescent="0.3">
      <c r="A1" s="6" t="s">
        <v>71</v>
      </c>
      <c r="B1" s="6" t="s">
        <v>72</v>
      </c>
      <c r="C1" s="6" t="s">
        <v>73</v>
      </c>
      <c r="D1" s="6" t="s">
        <v>84</v>
      </c>
      <c r="E1" s="6" t="s">
        <v>209</v>
      </c>
      <c r="F1" s="6" t="s">
        <v>210</v>
      </c>
      <c r="K1" s="26" t="s">
        <v>211</v>
      </c>
      <c r="L1" s="26"/>
    </row>
    <row r="2" spans="1:12" x14ac:dyDescent="0.3">
      <c r="A2" s="1" t="s">
        <v>76</v>
      </c>
      <c r="B2" s="1" t="s">
        <v>77</v>
      </c>
      <c r="C2" s="1" t="s">
        <v>78</v>
      </c>
      <c r="D2" s="23">
        <v>1234</v>
      </c>
      <c r="E2" s="8" t="str">
        <f>IF(D2&gt;=5000,"COMPLETED","INCOMPLETE")</f>
        <v>INCOMPLETE</v>
      </c>
      <c r="F2" s="1">
        <f>IF(D2&gt;7500,D2*20%,IF(D2&gt;500,D2*15%,D2*10%))</f>
        <v>185.1</v>
      </c>
      <c r="K2" s="22" t="s">
        <v>212</v>
      </c>
      <c r="L2" s="22" t="s">
        <v>215</v>
      </c>
    </row>
    <row r="3" spans="1:12" x14ac:dyDescent="0.3">
      <c r="A3" s="1" t="s">
        <v>79</v>
      </c>
      <c r="B3" s="1" t="s">
        <v>80</v>
      </c>
      <c r="C3" s="1" t="s">
        <v>81</v>
      </c>
      <c r="D3" s="23">
        <v>5678</v>
      </c>
      <c r="E3" s="8" t="str">
        <f t="shared" ref="E3:E24" si="0">IF(D3&gt;=5000,"COMPLETED","INCOMPLETE")</f>
        <v>COMPLETED</v>
      </c>
      <c r="F3" s="1">
        <f t="shared" ref="F3:F24" si="1">IF(D3&gt;7500,D3*20%,IF(D3&gt;500,D3*15%,D3*10%))</f>
        <v>851.69999999999993</v>
      </c>
      <c r="K3" s="1" t="s">
        <v>213</v>
      </c>
      <c r="L3" s="1" t="s">
        <v>216</v>
      </c>
    </row>
    <row r="4" spans="1:12" x14ac:dyDescent="0.3">
      <c r="A4" s="1" t="s">
        <v>82</v>
      </c>
      <c r="B4" s="1" t="s">
        <v>83</v>
      </c>
      <c r="C4" s="1" t="s">
        <v>84</v>
      </c>
      <c r="D4" s="23">
        <v>3456</v>
      </c>
      <c r="E4" s="8" t="str">
        <f t="shared" si="0"/>
        <v>INCOMPLETE</v>
      </c>
      <c r="F4" s="1">
        <f t="shared" si="1"/>
        <v>518.4</v>
      </c>
      <c r="K4" s="1" t="s">
        <v>214</v>
      </c>
      <c r="L4" s="1" t="s">
        <v>217</v>
      </c>
    </row>
    <row r="5" spans="1:12" x14ac:dyDescent="0.3">
      <c r="A5" s="1" t="s">
        <v>85</v>
      </c>
      <c r="B5" s="1" t="s">
        <v>86</v>
      </c>
      <c r="C5" s="1" t="s">
        <v>81</v>
      </c>
      <c r="D5" s="23">
        <v>9023</v>
      </c>
      <c r="E5" s="8" t="str">
        <f t="shared" si="0"/>
        <v>COMPLETED</v>
      </c>
      <c r="F5" s="1">
        <f t="shared" si="1"/>
        <v>1804.6000000000001</v>
      </c>
    </row>
    <row r="6" spans="1:12" x14ac:dyDescent="0.3">
      <c r="A6" s="1" t="s">
        <v>87</v>
      </c>
      <c r="B6" s="1" t="s">
        <v>88</v>
      </c>
      <c r="C6" s="1" t="s">
        <v>78</v>
      </c>
      <c r="D6" s="23">
        <v>679</v>
      </c>
      <c r="E6" s="8" t="str">
        <f t="shared" si="0"/>
        <v>INCOMPLETE</v>
      </c>
      <c r="F6" s="1">
        <f t="shared" si="1"/>
        <v>101.85</v>
      </c>
    </row>
    <row r="7" spans="1:12" x14ac:dyDescent="0.3">
      <c r="A7" s="1" t="s">
        <v>89</v>
      </c>
      <c r="B7" s="1" t="s">
        <v>90</v>
      </c>
      <c r="C7" s="1" t="s">
        <v>81</v>
      </c>
      <c r="D7" s="23">
        <v>1123</v>
      </c>
      <c r="E7" s="8" t="str">
        <f t="shared" si="0"/>
        <v>INCOMPLETE</v>
      </c>
      <c r="F7" s="1">
        <f t="shared" si="1"/>
        <v>168.45</v>
      </c>
      <c r="K7" s="27" t="s">
        <v>218</v>
      </c>
      <c r="L7" s="27"/>
    </row>
    <row r="8" spans="1:12" x14ac:dyDescent="0.3">
      <c r="A8" s="1" t="s">
        <v>91</v>
      </c>
      <c r="B8" s="1" t="s">
        <v>92</v>
      </c>
      <c r="C8" s="1" t="s">
        <v>84</v>
      </c>
      <c r="D8" s="23">
        <v>789</v>
      </c>
      <c r="E8" s="8" t="str">
        <f t="shared" si="0"/>
        <v>INCOMPLETE</v>
      </c>
      <c r="F8" s="1">
        <f t="shared" si="1"/>
        <v>118.35</v>
      </c>
      <c r="K8" s="22" t="s">
        <v>84</v>
      </c>
      <c r="L8" s="22" t="s">
        <v>219</v>
      </c>
    </row>
    <row r="9" spans="1:12" x14ac:dyDescent="0.3">
      <c r="A9" s="1" t="s">
        <v>93</v>
      </c>
      <c r="B9" s="1" t="s">
        <v>94</v>
      </c>
      <c r="C9" s="1" t="s">
        <v>78</v>
      </c>
      <c r="D9" s="23">
        <v>234</v>
      </c>
      <c r="E9" s="8" t="str">
        <f t="shared" si="0"/>
        <v>INCOMPLETE</v>
      </c>
      <c r="F9" s="1">
        <f t="shared" si="1"/>
        <v>23.400000000000002</v>
      </c>
      <c r="K9" s="1" t="s">
        <v>221</v>
      </c>
      <c r="L9" s="24">
        <v>0.2</v>
      </c>
    </row>
    <row r="10" spans="1:12" x14ac:dyDescent="0.3">
      <c r="A10" s="1" t="s">
        <v>95</v>
      </c>
      <c r="B10" s="1" t="s">
        <v>96</v>
      </c>
      <c r="C10" s="1" t="s">
        <v>81</v>
      </c>
      <c r="D10" s="23">
        <v>10000</v>
      </c>
      <c r="E10" s="8" t="str">
        <f t="shared" si="0"/>
        <v>COMPLETED</v>
      </c>
      <c r="F10" s="1">
        <f t="shared" si="1"/>
        <v>2000</v>
      </c>
      <c r="K10" s="1" t="s">
        <v>220</v>
      </c>
      <c r="L10" s="24">
        <v>0.15</v>
      </c>
    </row>
    <row r="11" spans="1:12" x14ac:dyDescent="0.3">
      <c r="A11" s="1" t="s">
        <v>97</v>
      </c>
      <c r="B11" s="1" t="s">
        <v>98</v>
      </c>
      <c r="C11" s="1" t="s">
        <v>81</v>
      </c>
      <c r="D11" s="23">
        <v>789</v>
      </c>
      <c r="E11" s="8" t="str">
        <f t="shared" si="0"/>
        <v>INCOMPLETE</v>
      </c>
      <c r="F11" s="1">
        <f t="shared" si="1"/>
        <v>118.35</v>
      </c>
      <c r="K11" s="1" t="s">
        <v>214</v>
      </c>
      <c r="L11" s="24">
        <v>0.1</v>
      </c>
    </row>
    <row r="12" spans="1:12" x14ac:dyDescent="0.3">
      <c r="A12" s="1" t="s">
        <v>99</v>
      </c>
      <c r="B12" s="1" t="s">
        <v>100</v>
      </c>
      <c r="C12" s="1" t="s">
        <v>78</v>
      </c>
      <c r="D12" s="23">
        <v>1456</v>
      </c>
      <c r="E12" s="8" t="str">
        <f t="shared" si="0"/>
        <v>INCOMPLETE</v>
      </c>
      <c r="F12" s="1">
        <f t="shared" si="1"/>
        <v>218.4</v>
      </c>
    </row>
    <row r="13" spans="1:12" x14ac:dyDescent="0.3">
      <c r="A13" s="1" t="s">
        <v>101</v>
      </c>
      <c r="B13" s="1" t="s">
        <v>102</v>
      </c>
      <c r="C13" s="1" t="s">
        <v>81</v>
      </c>
      <c r="D13" s="23">
        <v>9870</v>
      </c>
      <c r="E13" s="8" t="str">
        <f t="shared" si="0"/>
        <v>COMPLETED</v>
      </c>
      <c r="F13" s="1">
        <f t="shared" si="1"/>
        <v>1974</v>
      </c>
    </row>
    <row r="14" spans="1:12" x14ac:dyDescent="0.3">
      <c r="A14" s="1" t="s">
        <v>103</v>
      </c>
      <c r="B14" s="1" t="s">
        <v>104</v>
      </c>
      <c r="C14" s="1" t="s">
        <v>84</v>
      </c>
      <c r="D14" s="23">
        <v>4567</v>
      </c>
      <c r="E14" s="8" t="str">
        <f t="shared" si="0"/>
        <v>INCOMPLETE</v>
      </c>
      <c r="F14" s="1">
        <f t="shared" si="1"/>
        <v>685.05</v>
      </c>
    </row>
    <row r="15" spans="1:12" x14ac:dyDescent="0.3">
      <c r="A15" s="1" t="s">
        <v>105</v>
      </c>
      <c r="B15" s="1" t="s">
        <v>106</v>
      </c>
      <c r="C15" s="1" t="s">
        <v>78</v>
      </c>
      <c r="D15" s="23">
        <v>6789</v>
      </c>
      <c r="E15" s="8" t="str">
        <f t="shared" si="0"/>
        <v>COMPLETED</v>
      </c>
      <c r="F15" s="1">
        <f t="shared" si="1"/>
        <v>1018.3499999999999</v>
      </c>
    </row>
    <row r="16" spans="1:12" x14ac:dyDescent="0.3">
      <c r="A16" s="1" t="s">
        <v>107</v>
      </c>
      <c r="B16" s="1" t="s">
        <v>108</v>
      </c>
      <c r="C16" s="1" t="s">
        <v>81</v>
      </c>
      <c r="D16" s="23">
        <v>5689</v>
      </c>
      <c r="E16" s="8" t="str">
        <f t="shared" si="0"/>
        <v>COMPLETED</v>
      </c>
      <c r="F16" s="1">
        <f t="shared" si="1"/>
        <v>853.35</v>
      </c>
    </row>
    <row r="17" spans="1:6" x14ac:dyDescent="0.3">
      <c r="A17" s="1" t="s">
        <v>109</v>
      </c>
      <c r="B17" s="1" t="s">
        <v>110</v>
      </c>
      <c r="C17" s="1" t="s">
        <v>81</v>
      </c>
      <c r="D17" s="23">
        <v>1678</v>
      </c>
      <c r="E17" s="8" t="str">
        <f t="shared" si="0"/>
        <v>INCOMPLETE</v>
      </c>
      <c r="F17" s="1">
        <f t="shared" si="1"/>
        <v>251.7</v>
      </c>
    </row>
    <row r="18" spans="1:6" x14ac:dyDescent="0.3">
      <c r="A18" s="1" t="s">
        <v>111</v>
      </c>
      <c r="B18" s="1" t="s">
        <v>112</v>
      </c>
      <c r="C18" s="1" t="s">
        <v>78</v>
      </c>
      <c r="D18" s="23">
        <v>7834</v>
      </c>
      <c r="E18" s="8" t="str">
        <f t="shared" si="0"/>
        <v>COMPLETED</v>
      </c>
      <c r="F18" s="1">
        <f t="shared" si="1"/>
        <v>1566.8000000000002</v>
      </c>
    </row>
    <row r="19" spans="1:6" x14ac:dyDescent="0.3">
      <c r="A19" s="1" t="s">
        <v>113</v>
      </c>
      <c r="B19" s="1" t="s">
        <v>114</v>
      </c>
      <c r="C19" s="1" t="s">
        <v>81</v>
      </c>
      <c r="D19" s="23">
        <v>7908</v>
      </c>
      <c r="E19" s="8" t="str">
        <f t="shared" si="0"/>
        <v>COMPLETED</v>
      </c>
      <c r="F19" s="1">
        <f t="shared" si="1"/>
        <v>1581.6000000000001</v>
      </c>
    </row>
    <row r="20" spans="1:6" x14ac:dyDescent="0.3">
      <c r="A20" s="1" t="s">
        <v>115</v>
      </c>
      <c r="B20" s="1" t="s">
        <v>116</v>
      </c>
      <c r="C20" s="1" t="s">
        <v>84</v>
      </c>
      <c r="D20" s="23">
        <v>5189</v>
      </c>
      <c r="E20" s="8" t="str">
        <f t="shared" si="0"/>
        <v>COMPLETED</v>
      </c>
      <c r="F20" s="1">
        <f t="shared" si="1"/>
        <v>778.35</v>
      </c>
    </row>
    <row r="21" spans="1:6" x14ac:dyDescent="0.3">
      <c r="A21" s="1" t="s">
        <v>117</v>
      </c>
      <c r="B21" s="1" t="s">
        <v>121</v>
      </c>
      <c r="C21" s="1" t="s">
        <v>81</v>
      </c>
      <c r="D21" s="23">
        <v>5748.0526315789502</v>
      </c>
      <c r="E21" s="8" t="str">
        <f t="shared" si="0"/>
        <v>COMPLETED</v>
      </c>
      <c r="F21" s="1">
        <f t="shared" si="1"/>
        <v>862.20789473684249</v>
      </c>
    </row>
    <row r="22" spans="1:6" x14ac:dyDescent="0.3">
      <c r="A22" s="1" t="s">
        <v>118</v>
      </c>
      <c r="B22" s="1" t="s">
        <v>122</v>
      </c>
      <c r="C22" s="1" t="s">
        <v>84</v>
      </c>
      <c r="D22" s="23">
        <v>5938.2473684210499</v>
      </c>
      <c r="E22" s="8" t="str">
        <f t="shared" si="0"/>
        <v>COMPLETED</v>
      </c>
      <c r="F22" s="1">
        <f t="shared" si="1"/>
        <v>890.73710526315745</v>
      </c>
    </row>
    <row r="23" spans="1:6" x14ac:dyDescent="0.3">
      <c r="A23" s="1" t="s">
        <v>119</v>
      </c>
      <c r="B23" s="1" t="s">
        <v>123</v>
      </c>
      <c r="C23" s="1" t="s">
        <v>78</v>
      </c>
      <c r="D23" s="23">
        <v>6128.4421052631596</v>
      </c>
      <c r="E23" s="8" t="str">
        <f t="shared" si="0"/>
        <v>COMPLETED</v>
      </c>
      <c r="F23" s="1">
        <f t="shared" si="1"/>
        <v>919.26631578947388</v>
      </c>
    </row>
    <row r="24" spans="1:6" x14ac:dyDescent="0.3">
      <c r="A24" s="1" t="s">
        <v>120</v>
      </c>
      <c r="B24" s="1" t="s">
        <v>124</v>
      </c>
      <c r="C24" s="1" t="s">
        <v>84</v>
      </c>
      <c r="D24" s="23">
        <v>6318.6368421052603</v>
      </c>
      <c r="E24" s="8" t="str">
        <f t="shared" si="0"/>
        <v>COMPLETED</v>
      </c>
      <c r="F24" s="1">
        <f t="shared" si="1"/>
        <v>947.79552631578895</v>
      </c>
    </row>
  </sheetData>
  <mergeCells count="2">
    <mergeCell ref="K1:L1"/>
    <mergeCell ref="K7:L7"/>
  </mergeCells>
  <conditionalFormatting sqref="A2:C24">
    <cfRule type="expression" dxfId="1" priority="2">
      <formula>$C2="Sales"</formula>
    </cfRule>
  </conditionalFormatting>
  <conditionalFormatting sqref="C2:C24">
    <cfRule type="containsText" dxfId="0" priority="3" operator="containsText" text="Finance">
      <formula>NOT(ISERROR(SEARCH("Finance",C2)))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F4D7D-E271-4D1F-9B3A-DAB73C8F1DE6}">
  <dimension ref="A1:F8"/>
  <sheetViews>
    <sheetView workbookViewId="0">
      <selection activeCell="F7" sqref="F7"/>
    </sheetView>
  </sheetViews>
  <sheetFormatPr defaultRowHeight="14.4" x14ac:dyDescent="0.3"/>
  <cols>
    <col min="1" max="1" width="16.109375" customWidth="1"/>
    <col min="3" max="4" width="14.44140625" customWidth="1"/>
    <col min="5" max="5" width="13.21875" customWidth="1"/>
    <col min="6" max="6" width="13.5546875" customWidth="1"/>
  </cols>
  <sheetData>
    <row r="1" spans="1:6" x14ac:dyDescent="0.3">
      <c r="A1" t="s">
        <v>135</v>
      </c>
      <c r="B1" t="s">
        <v>136</v>
      </c>
      <c r="C1" t="s">
        <v>146</v>
      </c>
      <c r="D1" t="s">
        <v>147</v>
      </c>
      <c r="E1" t="s">
        <v>144</v>
      </c>
      <c r="F1" t="s">
        <v>145</v>
      </c>
    </row>
    <row r="2" spans="1:6" x14ac:dyDescent="0.3">
      <c r="A2" t="s">
        <v>137</v>
      </c>
      <c r="B2">
        <f>LEN(A2)</f>
        <v>14</v>
      </c>
      <c r="C2" t="str">
        <f>SUBSTITUTE(A2,"WH","MH")</f>
        <v xml:space="preserve">MH1881NL01    </v>
      </c>
      <c r="D2">
        <f>LEN(C2)</f>
        <v>14</v>
      </c>
      <c r="E2" t="str">
        <f>TRIM(A2)</f>
        <v>WH1881NL01</v>
      </c>
      <c r="F2">
        <f>LEN(E2)</f>
        <v>10</v>
      </c>
    </row>
    <row r="3" spans="1:6" x14ac:dyDescent="0.3">
      <c r="A3" t="s">
        <v>138</v>
      </c>
      <c r="B3">
        <f t="shared" ref="B3:B8" si="0">LEN(A3)</f>
        <v>20</v>
      </c>
      <c r="C3" t="str">
        <f t="shared" ref="C3:C8" si="1">SUBSTITUTE(A3,"WH","MH")</f>
        <v xml:space="preserve">MH10017QH01         </v>
      </c>
      <c r="D3">
        <f t="shared" ref="D3:D8" si="2">LEN(C3)</f>
        <v>20</v>
      </c>
      <c r="E3" t="str">
        <f t="shared" ref="E3:E8" si="3">TRIM(A3)</f>
        <v>WH10017QH01</v>
      </c>
      <c r="F3">
        <f t="shared" ref="F3:F8" si="4">LEN(E3)</f>
        <v>11</v>
      </c>
    </row>
    <row r="4" spans="1:6" x14ac:dyDescent="0.3">
      <c r="A4" t="s">
        <v>139</v>
      </c>
      <c r="B4">
        <f t="shared" si="0"/>
        <v>23</v>
      </c>
      <c r="C4" t="str">
        <f t="shared" si="1"/>
        <v xml:space="preserve">MH10017SL01            </v>
      </c>
      <c r="D4">
        <f t="shared" si="2"/>
        <v>23</v>
      </c>
      <c r="E4" t="str">
        <f t="shared" si="3"/>
        <v>WH10017SL01</v>
      </c>
      <c r="F4">
        <f t="shared" si="4"/>
        <v>11</v>
      </c>
    </row>
    <row r="5" spans="1:6" x14ac:dyDescent="0.3">
      <c r="A5" t="s">
        <v>140</v>
      </c>
      <c r="B5">
        <f t="shared" si="0"/>
        <v>14</v>
      </c>
      <c r="C5" t="str">
        <f t="shared" si="1"/>
        <v xml:space="preserve">MH1043NM01    </v>
      </c>
      <c r="D5">
        <f t="shared" si="2"/>
        <v>14</v>
      </c>
      <c r="E5" t="str">
        <f t="shared" si="3"/>
        <v>WH1043NM01</v>
      </c>
      <c r="F5">
        <f t="shared" si="4"/>
        <v>10</v>
      </c>
    </row>
    <row r="6" spans="1:6" x14ac:dyDescent="0.3">
      <c r="A6" t="s">
        <v>141</v>
      </c>
      <c r="B6">
        <f t="shared" si="0"/>
        <v>11</v>
      </c>
      <c r="C6" t="str">
        <f t="shared" si="1"/>
        <v xml:space="preserve">MH1043YL05 </v>
      </c>
      <c r="D6">
        <f t="shared" si="2"/>
        <v>11</v>
      </c>
      <c r="E6" t="str">
        <f t="shared" si="3"/>
        <v>WH1043YL05</v>
      </c>
      <c r="F6">
        <f t="shared" si="4"/>
        <v>10</v>
      </c>
    </row>
    <row r="7" spans="1:6" x14ac:dyDescent="0.3">
      <c r="A7" t="s">
        <v>142</v>
      </c>
      <c r="B7">
        <f t="shared" si="0"/>
        <v>31</v>
      </c>
      <c r="C7" t="str">
        <f t="shared" si="1"/>
        <v xml:space="preserve">MH1043YH01                     </v>
      </c>
      <c r="D7">
        <f t="shared" si="2"/>
        <v>31</v>
      </c>
      <c r="E7" t="str">
        <f t="shared" si="3"/>
        <v>WH1043YH01</v>
      </c>
      <c r="F7">
        <f t="shared" si="4"/>
        <v>10</v>
      </c>
    </row>
    <row r="8" spans="1:6" x14ac:dyDescent="0.3">
      <c r="A8" t="s">
        <v>143</v>
      </c>
      <c r="B8">
        <f t="shared" si="0"/>
        <v>29</v>
      </c>
      <c r="C8" t="str">
        <f t="shared" si="1"/>
        <v xml:space="preserve">MH1595NL01                   </v>
      </c>
      <c r="D8">
        <f t="shared" si="2"/>
        <v>29</v>
      </c>
      <c r="E8" t="str">
        <f t="shared" si="3"/>
        <v>WH1595NL01</v>
      </c>
      <c r="F8">
        <f t="shared" si="4"/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18D7-930C-43EE-944E-A1DA7E29901D}">
  <dimension ref="A1:O28"/>
  <sheetViews>
    <sheetView topLeftCell="D1" workbookViewId="0">
      <selection activeCell="E5" sqref="E5"/>
    </sheetView>
  </sheetViews>
  <sheetFormatPr defaultRowHeight="14.4" x14ac:dyDescent="0.3"/>
  <cols>
    <col min="2" max="2" width="11.77734375" customWidth="1"/>
    <col min="3" max="3" width="11" customWidth="1"/>
    <col min="4" max="4" width="16.21875" customWidth="1"/>
    <col min="5" max="5" width="10.88671875" customWidth="1"/>
    <col min="11" max="11" width="14.21875" customWidth="1"/>
    <col min="12" max="12" width="11.88671875" customWidth="1"/>
    <col min="13" max="13" width="17.44140625" customWidth="1"/>
    <col min="14" max="14" width="15.5546875" customWidth="1"/>
    <col min="15" max="15" width="21.109375" customWidth="1"/>
  </cols>
  <sheetData>
    <row r="1" spans="1:15" x14ac:dyDescent="0.3">
      <c r="A1" s="11" t="s">
        <v>148</v>
      </c>
      <c r="B1" s="12" t="s">
        <v>149</v>
      </c>
      <c r="C1" s="12" t="s">
        <v>150</v>
      </c>
      <c r="D1" s="12" t="s">
        <v>151</v>
      </c>
      <c r="E1" s="12" t="s">
        <v>187</v>
      </c>
      <c r="F1" s="12" t="s">
        <v>152</v>
      </c>
      <c r="G1" s="12" t="s">
        <v>153</v>
      </c>
      <c r="H1" s="12" t="s">
        <v>154</v>
      </c>
      <c r="I1" s="12" t="s">
        <v>155</v>
      </c>
      <c r="J1" s="12" t="s">
        <v>156</v>
      </c>
      <c r="K1" s="12" t="s">
        <v>157</v>
      </c>
      <c r="L1" s="12" t="s">
        <v>158</v>
      </c>
      <c r="M1" s="12" t="s">
        <v>159</v>
      </c>
      <c r="N1" s="12" t="s">
        <v>160</v>
      </c>
      <c r="O1" s="13" t="s">
        <v>161</v>
      </c>
    </row>
    <row r="2" spans="1:15" x14ac:dyDescent="0.3">
      <c r="A2" s="14" t="s">
        <v>162</v>
      </c>
      <c r="B2" s="15">
        <v>0</v>
      </c>
      <c r="C2" s="15">
        <v>737</v>
      </c>
      <c r="D2" s="15">
        <v>2015</v>
      </c>
      <c r="E2" s="15" t="s">
        <v>179</v>
      </c>
      <c r="F2" s="15">
        <v>2</v>
      </c>
      <c r="G2" s="15">
        <v>0</v>
      </c>
      <c r="H2" s="15">
        <v>0</v>
      </c>
      <c r="I2" s="15" t="s">
        <v>164</v>
      </c>
      <c r="J2" s="15" t="s">
        <v>165</v>
      </c>
      <c r="K2" s="15" t="s">
        <v>165</v>
      </c>
      <c r="L2" s="15" t="s">
        <v>166</v>
      </c>
      <c r="M2" s="16">
        <v>42186</v>
      </c>
      <c r="N2" s="15" t="str">
        <f>IF([1]!Table1_1[[#This Row],[reserved_room_type]]=[1]!Table1_1[[#This Row],[assigned_room_type]],"Desired","Un-Desired")</f>
        <v>Desired</v>
      </c>
      <c r="O2" s="17" t="str">
        <f t="shared" ref="O2:O28" si="0">IF(AND(F2=2,G2=0,H2=0),"COUPLES",IF(AND(F2=1,G2=0,H2=0),"SINGLE","FAMILY"))</f>
        <v>COUPLES</v>
      </c>
    </row>
    <row r="3" spans="1:15" x14ac:dyDescent="0.3">
      <c r="A3" s="18" t="s">
        <v>162</v>
      </c>
      <c r="B3" s="19">
        <v>0</v>
      </c>
      <c r="C3" s="19">
        <v>7</v>
      </c>
      <c r="D3" s="19">
        <v>2015</v>
      </c>
      <c r="E3" s="15" t="s">
        <v>163</v>
      </c>
      <c r="F3" s="19">
        <v>1</v>
      </c>
      <c r="G3" s="19">
        <v>0</v>
      </c>
      <c r="H3" s="19">
        <v>0</v>
      </c>
      <c r="I3" s="19" t="s">
        <v>167</v>
      </c>
      <c r="J3" s="19" t="s">
        <v>168</v>
      </c>
      <c r="K3" s="19" t="s">
        <v>165</v>
      </c>
      <c r="L3" s="19" t="s">
        <v>166</v>
      </c>
      <c r="M3" s="20">
        <v>42187</v>
      </c>
      <c r="N3" s="19" t="str">
        <f>IF([1]!Table1_1[[#This Row],[reserved_room_type]]=[1]!Table1_1[[#This Row],[assigned_room_type]],"Desired","Un-Desired")</f>
        <v>Un-Desired</v>
      </c>
      <c r="O3" s="21" t="str">
        <f t="shared" si="0"/>
        <v>SINGLE</v>
      </c>
    </row>
    <row r="4" spans="1:15" x14ac:dyDescent="0.3">
      <c r="A4" s="14" t="s">
        <v>162</v>
      </c>
      <c r="B4" s="15">
        <v>0</v>
      </c>
      <c r="C4" s="15">
        <v>13</v>
      </c>
      <c r="D4" s="15">
        <v>2015</v>
      </c>
      <c r="E4" s="15" t="s">
        <v>163</v>
      </c>
      <c r="F4" s="15">
        <v>1</v>
      </c>
      <c r="G4" s="15">
        <v>0</v>
      </c>
      <c r="H4" s="15">
        <v>0</v>
      </c>
      <c r="I4" s="15" t="s">
        <v>167</v>
      </c>
      <c r="J4" s="15" t="s">
        <v>168</v>
      </c>
      <c r="K4" s="15" t="s">
        <v>168</v>
      </c>
      <c r="L4" s="15" t="s">
        <v>166</v>
      </c>
      <c r="M4" s="16">
        <v>42187</v>
      </c>
      <c r="N4" s="15" t="str">
        <f>IF([1]!Table1_1[[#This Row],[reserved_room_type]]=[1]!Table1_1[[#This Row],[assigned_room_type]],"Desired","Un-Desired")</f>
        <v>Desired</v>
      </c>
      <c r="O4" s="17" t="str">
        <f t="shared" si="0"/>
        <v>SINGLE</v>
      </c>
    </row>
    <row r="5" spans="1:15" x14ac:dyDescent="0.3">
      <c r="A5" s="18" t="s">
        <v>162</v>
      </c>
      <c r="B5" s="19">
        <v>0</v>
      </c>
      <c r="C5" s="19">
        <v>14</v>
      </c>
      <c r="D5" s="19">
        <v>2015</v>
      </c>
      <c r="E5" s="15" t="s">
        <v>163</v>
      </c>
      <c r="F5" s="19">
        <v>2</v>
      </c>
      <c r="G5" s="19">
        <v>0</v>
      </c>
      <c r="H5" s="19">
        <v>0</v>
      </c>
      <c r="I5" s="19" t="s">
        <v>167</v>
      </c>
      <c r="J5" s="19" t="s">
        <v>168</v>
      </c>
      <c r="K5" s="19" t="s">
        <v>168</v>
      </c>
      <c r="L5" s="19" t="s">
        <v>166</v>
      </c>
      <c r="M5" s="20">
        <v>42188</v>
      </c>
      <c r="N5" s="19" t="str">
        <f>IF([1]!Table1_1[[#This Row],[reserved_room_type]]=[1]!Table1_1[[#This Row],[assigned_room_type]],"Desired","Un-Desired")</f>
        <v>Desired</v>
      </c>
      <c r="O5" s="21" t="str">
        <f t="shared" si="0"/>
        <v>COUPLES</v>
      </c>
    </row>
    <row r="6" spans="1:15" x14ac:dyDescent="0.3">
      <c r="A6" s="14" t="s">
        <v>162</v>
      </c>
      <c r="B6" s="15">
        <v>0</v>
      </c>
      <c r="C6" s="15">
        <v>14</v>
      </c>
      <c r="D6" s="15">
        <v>2015</v>
      </c>
      <c r="E6" s="15" t="s">
        <v>163</v>
      </c>
      <c r="F6" s="15">
        <v>2</v>
      </c>
      <c r="G6" s="15">
        <v>0</v>
      </c>
      <c r="H6" s="15">
        <v>0</v>
      </c>
      <c r="I6" s="15" t="s">
        <v>167</v>
      </c>
      <c r="J6" s="15" t="s">
        <v>168</v>
      </c>
      <c r="K6" s="15" t="s">
        <v>168</v>
      </c>
      <c r="L6" s="15" t="s">
        <v>166</v>
      </c>
      <c r="M6" s="16">
        <v>42188</v>
      </c>
      <c r="N6" s="15" t="str">
        <f>IF([1]!Table1_1[[#This Row],[reserved_room_type]]=[1]!Table1_1[[#This Row],[assigned_room_type]],"Desired","Un-Desired")</f>
        <v>Desired</v>
      </c>
      <c r="O6" s="17" t="str">
        <f t="shared" si="0"/>
        <v>COUPLES</v>
      </c>
    </row>
    <row r="7" spans="1:15" x14ac:dyDescent="0.3">
      <c r="A7" s="18" t="s">
        <v>162</v>
      </c>
      <c r="B7" s="19">
        <v>0</v>
      </c>
      <c r="C7" s="19">
        <v>0</v>
      </c>
      <c r="D7" s="19">
        <v>2015</v>
      </c>
      <c r="E7" s="15" t="s">
        <v>163</v>
      </c>
      <c r="F7" s="19">
        <v>2</v>
      </c>
      <c r="G7" s="19">
        <v>0</v>
      </c>
      <c r="H7" s="19">
        <v>0</v>
      </c>
      <c r="I7" s="19" t="s">
        <v>164</v>
      </c>
      <c r="J7" s="19" t="s">
        <v>165</v>
      </c>
      <c r="K7" s="19" t="s">
        <v>165</v>
      </c>
      <c r="L7" s="19" t="s">
        <v>166</v>
      </c>
      <c r="M7" s="20">
        <v>42188</v>
      </c>
      <c r="N7" s="19" t="str">
        <f>IF([1]!Table1_1[[#This Row],[reserved_room_type]]=[1]!Table1_1[[#This Row],[assigned_room_type]],"Desired","Un-Desired")</f>
        <v>Desired</v>
      </c>
      <c r="O7" s="21" t="str">
        <f t="shared" si="0"/>
        <v>COUPLES</v>
      </c>
    </row>
    <row r="8" spans="1:15" x14ac:dyDescent="0.3">
      <c r="A8" s="14" t="s">
        <v>162</v>
      </c>
      <c r="B8" s="15">
        <v>0</v>
      </c>
      <c r="C8" s="15">
        <v>9</v>
      </c>
      <c r="D8" s="15">
        <v>2015</v>
      </c>
      <c r="E8" s="15" t="s">
        <v>180</v>
      </c>
      <c r="F8" s="15">
        <v>2</v>
      </c>
      <c r="G8" s="15">
        <v>0</v>
      </c>
      <c r="H8" s="15">
        <v>0</v>
      </c>
      <c r="I8" s="15" t="s">
        <v>164</v>
      </c>
      <c r="J8" s="15" t="s">
        <v>165</v>
      </c>
      <c r="K8" s="15" t="s">
        <v>165</v>
      </c>
      <c r="L8" s="15" t="s">
        <v>166</v>
      </c>
      <c r="M8" s="16">
        <v>42188</v>
      </c>
      <c r="N8" s="15" t="str">
        <f>IF([1]!Table1_1[[#This Row],[reserved_room_type]]=[1]!Table1_1[[#This Row],[assigned_room_type]],"Desired","Un-Desired")</f>
        <v>Desired</v>
      </c>
      <c r="O8" s="17" t="str">
        <f t="shared" si="0"/>
        <v>COUPLES</v>
      </c>
    </row>
    <row r="9" spans="1:15" x14ac:dyDescent="0.3">
      <c r="A9" s="18" t="s">
        <v>162</v>
      </c>
      <c r="B9" s="19">
        <v>1</v>
      </c>
      <c r="C9" s="19">
        <v>85</v>
      </c>
      <c r="D9" s="19">
        <v>2015</v>
      </c>
      <c r="E9" s="15" t="s">
        <v>163</v>
      </c>
      <c r="F9" s="19">
        <v>2</v>
      </c>
      <c r="G9" s="19">
        <v>0</v>
      </c>
      <c r="H9" s="19">
        <v>0</v>
      </c>
      <c r="I9" s="19" t="s">
        <v>164</v>
      </c>
      <c r="J9" s="19" t="s">
        <v>168</v>
      </c>
      <c r="K9" s="19" t="s">
        <v>168</v>
      </c>
      <c r="L9" s="19" t="s">
        <v>169</v>
      </c>
      <c r="M9" s="20">
        <v>42130</v>
      </c>
      <c r="N9" s="19" t="str">
        <f>IF([1]!Table1_1[[#This Row],[reserved_room_type]]=[1]!Table1_1[[#This Row],[assigned_room_type]],"Desired","Un-Desired")</f>
        <v>Desired</v>
      </c>
      <c r="O9" s="21" t="str">
        <f t="shared" si="0"/>
        <v>COUPLES</v>
      </c>
    </row>
    <row r="10" spans="1:15" x14ac:dyDescent="0.3">
      <c r="A10" s="14" t="s">
        <v>162</v>
      </c>
      <c r="B10" s="15">
        <v>1</v>
      </c>
      <c r="C10" s="15">
        <v>75</v>
      </c>
      <c r="D10" s="15">
        <v>2015</v>
      </c>
      <c r="E10" s="15" t="s">
        <v>163</v>
      </c>
      <c r="F10" s="15">
        <v>2</v>
      </c>
      <c r="G10" s="15">
        <v>0</v>
      </c>
      <c r="H10" s="15">
        <v>0</v>
      </c>
      <c r="I10" s="15" t="s">
        <v>164</v>
      </c>
      <c r="J10" s="15" t="s">
        <v>170</v>
      </c>
      <c r="K10" s="15" t="s">
        <v>170</v>
      </c>
      <c r="L10" s="15" t="s">
        <v>169</v>
      </c>
      <c r="M10" s="16">
        <v>42116</v>
      </c>
      <c r="N10" s="15" t="str">
        <f>IF([1]!Table1_1[[#This Row],[reserved_room_type]]=[1]!Table1_1[[#This Row],[assigned_room_type]],"Desired","Un-Desired")</f>
        <v>Desired</v>
      </c>
      <c r="O10" s="17" t="str">
        <f t="shared" si="0"/>
        <v>COUPLES</v>
      </c>
    </row>
    <row r="11" spans="1:15" x14ac:dyDescent="0.3">
      <c r="A11" s="18" t="s">
        <v>162</v>
      </c>
      <c r="B11" s="19">
        <v>1</v>
      </c>
      <c r="C11" s="19">
        <v>23</v>
      </c>
      <c r="D11" s="19">
        <v>2015</v>
      </c>
      <c r="E11" s="15" t="s">
        <v>181</v>
      </c>
      <c r="F11" s="19">
        <v>2</v>
      </c>
      <c r="G11" s="19">
        <v>0</v>
      </c>
      <c r="H11" s="19">
        <v>0</v>
      </c>
      <c r="I11" s="19" t="s">
        <v>164</v>
      </c>
      <c r="J11" s="19" t="s">
        <v>171</v>
      </c>
      <c r="K11" s="19" t="s">
        <v>171</v>
      </c>
      <c r="L11" s="19" t="s">
        <v>169</v>
      </c>
      <c r="M11" s="20">
        <v>42178</v>
      </c>
      <c r="N11" s="19" t="str">
        <f>IF([1]!Table1_1[[#This Row],[reserved_room_type]]=[1]!Table1_1[[#This Row],[assigned_room_type]],"Desired","Un-Desired")</f>
        <v>Desired</v>
      </c>
      <c r="O11" s="21" t="str">
        <f t="shared" si="0"/>
        <v>COUPLES</v>
      </c>
    </row>
    <row r="12" spans="1:15" x14ac:dyDescent="0.3">
      <c r="A12" s="14" t="s">
        <v>162</v>
      </c>
      <c r="B12" s="15">
        <v>0</v>
      </c>
      <c r="C12" s="15">
        <v>35</v>
      </c>
      <c r="D12" s="15">
        <v>2015</v>
      </c>
      <c r="E12" s="15" t="s">
        <v>163</v>
      </c>
      <c r="F12" s="15">
        <v>2</v>
      </c>
      <c r="G12" s="15">
        <v>0</v>
      </c>
      <c r="H12" s="15">
        <v>0</v>
      </c>
      <c r="I12" s="15" t="s">
        <v>164</v>
      </c>
      <c r="J12" s="15" t="s">
        <v>170</v>
      </c>
      <c r="K12" s="15" t="s">
        <v>170</v>
      </c>
      <c r="L12" s="15" t="s">
        <v>166</v>
      </c>
      <c r="M12" s="16">
        <v>42190</v>
      </c>
      <c r="N12" s="15" t="str">
        <f>IF([1]!Table1_1[[#This Row],[reserved_room_type]]=[1]!Table1_1[[#This Row],[assigned_room_type]],"Desired","Un-Desired")</f>
        <v>Desired</v>
      </c>
      <c r="O12" s="17" t="str">
        <f t="shared" si="0"/>
        <v>COUPLES</v>
      </c>
    </row>
    <row r="13" spans="1:15" x14ac:dyDescent="0.3">
      <c r="A13" s="18" t="s">
        <v>162</v>
      </c>
      <c r="B13" s="19">
        <v>0</v>
      </c>
      <c r="C13" s="19">
        <v>68</v>
      </c>
      <c r="D13" s="19">
        <v>2015</v>
      </c>
      <c r="E13" s="15" t="s">
        <v>163</v>
      </c>
      <c r="F13" s="19">
        <v>2</v>
      </c>
      <c r="G13" s="19">
        <v>0</v>
      </c>
      <c r="H13" s="19">
        <v>0</v>
      </c>
      <c r="I13" s="19" t="s">
        <v>172</v>
      </c>
      <c r="J13" s="19" t="s">
        <v>170</v>
      </c>
      <c r="K13" s="19" t="s">
        <v>171</v>
      </c>
      <c r="L13" s="19" t="s">
        <v>166</v>
      </c>
      <c r="M13" s="20">
        <v>42190</v>
      </c>
      <c r="N13" s="19" t="str">
        <f>IF([1]!Table1_1[[#This Row],[reserved_room_type]]=[1]!Table1_1[[#This Row],[assigned_room_type]],"Desired","Un-Desired")</f>
        <v>Un-Desired</v>
      </c>
      <c r="O13" s="21" t="str">
        <f t="shared" si="0"/>
        <v>COUPLES</v>
      </c>
    </row>
    <row r="14" spans="1:15" x14ac:dyDescent="0.3">
      <c r="A14" s="14" t="s">
        <v>162</v>
      </c>
      <c r="B14" s="15">
        <v>0</v>
      </c>
      <c r="C14" s="15">
        <v>18</v>
      </c>
      <c r="D14" s="15">
        <v>2015</v>
      </c>
      <c r="E14" s="15" t="s">
        <v>163</v>
      </c>
      <c r="F14" s="15">
        <v>2</v>
      </c>
      <c r="G14" s="15">
        <v>1</v>
      </c>
      <c r="H14" s="15">
        <v>0</v>
      </c>
      <c r="I14" s="15" t="s">
        <v>173</v>
      </c>
      <c r="J14" s="15" t="s">
        <v>174</v>
      </c>
      <c r="K14" s="15" t="s">
        <v>174</v>
      </c>
      <c r="L14" s="15" t="s">
        <v>166</v>
      </c>
      <c r="M14" s="16">
        <v>42190</v>
      </c>
      <c r="N14" s="15" t="str">
        <f>IF([1]!Table1_1[[#This Row],[reserved_room_type]]=[1]!Table1_1[[#This Row],[assigned_room_type]],"Desired","Un-Desired")</f>
        <v>Desired</v>
      </c>
      <c r="O14" s="17" t="str">
        <f t="shared" si="0"/>
        <v>FAMILY</v>
      </c>
    </row>
    <row r="15" spans="1:15" x14ac:dyDescent="0.3">
      <c r="A15" s="18" t="s">
        <v>162</v>
      </c>
      <c r="B15" s="19">
        <v>0</v>
      </c>
      <c r="C15" s="19">
        <v>37</v>
      </c>
      <c r="D15" s="19">
        <v>2015</v>
      </c>
      <c r="E15" s="15" t="s">
        <v>182</v>
      </c>
      <c r="F15" s="19">
        <v>2</v>
      </c>
      <c r="G15" s="19">
        <v>0</v>
      </c>
      <c r="H15" s="19">
        <v>0</v>
      </c>
      <c r="I15" s="19" t="s">
        <v>164</v>
      </c>
      <c r="J15" s="19" t="s">
        <v>171</v>
      </c>
      <c r="K15" s="19" t="s">
        <v>171</v>
      </c>
      <c r="L15" s="19" t="s">
        <v>166</v>
      </c>
      <c r="M15" s="20">
        <v>42190</v>
      </c>
      <c r="N15" s="19" t="str">
        <f>IF([1]!Table1_1[[#This Row],[reserved_room_type]]=[1]!Table1_1[[#This Row],[assigned_room_type]],"Desired","Un-Desired")</f>
        <v>Desired</v>
      </c>
      <c r="O15" s="21" t="str">
        <f t="shared" si="0"/>
        <v>COUPLES</v>
      </c>
    </row>
    <row r="16" spans="1:15" x14ac:dyDescent="0.3">
      <c r="A16" s="14" t="s">
        <v>162</v>
      </c>
      <c r="B16" s="15">
        <v>0</v>
      </c>
      <c r="C16" s="15">
        <v>68</v>
      </c>
      <c r="D16" s="15">
        <v>2015</v>
      </c>
      <c r="E16" s="15" t="s">
        <v>163</v>
      </c>
      <c r="F16" s="15">
        <v>2</v>
      </c>
      <c r="G16" s="15">
        <v>0</v>
      </c>
      <c r="H16" s="15">
        <v>0</v>
      </c>
      <c r="I16" s="15" t="s">
        <v>175</v>
      </c>
      <c r="J16" s="15" t="s">
        <v>170</v>
      </c>
      <c r="K16" s="15" t="s">
        <v>171</v>
      </c>
      <c r="L16" s="15" t="s">
        <v>166</v>
      </c>
      <c r="M16" s="16">
        <v>42190</v>
      </c>
      <c r="N16" s="15" t="str">
        <f>IF([1]!Table1_1[[#This Row],[reserved_room_type]]=[1]!Table1_1[[#This Row],[assigned_room_type]],"Desired","Un-Desired")</f>
        <v>Un-Desired</v>
      </c>
      <c r="O16" s="17" t="str">
        <f t="shared" si="0"/>
        <v>COUPLES</v>
      </c>
    </row>
    <row r="17" spans="1:15" x14ac:dyDescent="0.3">
      <c r="A17" s="18" t="s">
        <v>162</v>
      </c>
      <c r="B17" s="19">
        <v>0</v>
      </c>
      <c r="C17" s="19">
        <v>37</v>
      </c>
      <c r="D17" s="19">
        <v>2015</v>
      </c>
      <c r="E17" s="15" t="s">
        <v>163</v>
      </c>
      <c r="F17" s="19">
        <v>2</v>
      </c>
      <c r="G17" s="19">
        <v>0</v>
      </c>
      <c r="H17" s="19">
        <v>0</v>
      </c>
      <c r="I17" s="19" t="s">
        <v>164</v>
      </c>
      <c r="J17" s="19" t="s">
        <v>171</v>
      </c>
      <c r="K17" s="19" t="s">
        <v>171</v>
      </c>
      <c r="L17" s="19" t="s">
        <v>166</v>
      </c>
      <c r="M17" s="20">
        <v>42190</v>
      </c>
      <c r="N17" s="19" t="str">
        <f>IF([1]!Table1_1[[#This Row],[reserved_room_type]]=[1]!Table1_1[[#This Row],[assigned_room_type]],"Desired","Un-Desired")</f>
        <v>Desired</v>
      </c>
      <c r="O17" s="21" t="str">
        <f t="shared" si="0"/>
        <v>COUPLES</v>
      </c>
    </row>
    <row r="18" spans="1:15" x14ac:dyDescent="0.3">
      <c r="A18" s="14" t="s">
        <v>162</v>
      </c>
      <c r="B18" s="15">
        <v>0</v>
      </c>
      <c r="C18" s="15">
        <v>12</v>
      </c>
      <c r="D18" s="15">
        <v>2015</v>
      </c>
      <c r="E18" s="15" t="s">
        <v>163</v>
      </c>
      <c r="F18" s="15">
        <v>2</v>
      </c>
      <c r="G18" s="15">
        <v>0</v>
      </c>
      <c r="H18" s="15">
        <v>0</v>
      </c>
      <c r="I18" s="15" t="s">
        <v>175</v>
      </c>
      <c r="J18" s="15" t="s">
        <v>168</v>
      </c>
      <c r="K18" s="15" t="s">
        <v>171</v>
      </c>
      <c r="L18" s="15" t="s">
        <v>166</v>
      </c>
      <c r="M18" s="16">
        <v>42187</v>
      </c>
      <c r="N18" s="15" t="str">
        <f>IF([1]!Table1_1[[#This Row],[reserved_room_type]]=[1]!Table1_1[[#This Row],[assigned_room_type]],"Desired","Un-Desired")</f>
        <v>Un-Desired</v>
      </c>
      <c r="O18" s="17" t="str">
        <f t="shared" si="0"/>
        <v>COUPLES</v>
      </c>
    </row>
    <row r="19" spans="1:15" x14ac:dyDescent="0.3">
      <c r="A19" s="18" t="s">
        <v>162</v>
      </c>
      <c r="B19" s="19">
        <v>0</v>
      </c>
      <c r="C19" s="19">
        <v>0</v>
      </c>
      <c r="D19" s="19">
        <v>2015</v>
      </c>
      <c r="E19" s="15" t="s">
        <v>163</v>
      </c>
      <c r="F19" s="19">
        <v>2</v>
      </c>
      <c r="G19" s="19">
        <v>0</v>
      </c>
      <c r="H19" s="19">
        <v>0</v>
      </c>
      <c r="I19" s="19" t="s">
        <v>176</v>
      </c>
      <c r="J19" s="19" t="s">
        <v>168</v>
      </c>
      <c r="K19" s="19" t="s">
        <v>174</v>
      </c>
      <c r="L19" s="19" t="s">
        <v>166</v>
      </c>
      <c r="M19" s="20">
        <v>42187</v>
      </c>
      <c r="N19" s="19" t="str">
        <f>IF([1]!Table1_1[[#This Row],[reserved_room_type]]=[1]!Table1_1[[#This Row],[assigned_room_type]],"Desired","Un-Desired")</f>
        <v>Un-Desired</v>
      </c>
      <c r="O19" s="21" t="str">
        <f t="shared" si="0"/>
        <v>COUPLES</v>
      </c>
    </row>
    <row r="20" spans="1:15" x14ac:dyDescent="0.3">
      <c r="A20" s="14" t="s">
        <v>162</v>
      </c>
      <c r="B20" s="15">
        <v>0</v>
      </c>
      <c r="C20" s="15">
        <v>7</v>
      </c>
      <c r="D20" s="15">
        <v>2015</v>
      </c>
      <c r="E20" s="15" t="s">
        <v>163</v>
      </c>
      <c r="F20" s="15">
        <v>2</v>
      </c>
      <c r="G20" s="15">
        <v>0</v>
      </c>
      <c r="H20" s="15">
        <v>0</v>
      </c>
      <c r="I20" s="15" t="s">
        <v>167</v>
      </c>
      <c r="J20" s="15" t="s">
        <v>174</v>
      </c>
      <c r="K20" s="15" t="s">
        <v>174</v>
      </c>
      <c r="L20" s="15" t="s">
        <v>166</v>
      </c>
      <c r="M20" s="16">
        <v>42190</v>
      </c>
      <c r="N20" s="15" t="str">
        <f>IF([1]!Table1_1[[#This Row],[reserved_room_type]]=[1]!Table1_1[[#This Row],[assigned_room_type]],"Desired","Un-Desired")</f>
        <v>Desired</v>
      </c>
      <c r="O20" s="17" t="str">
        <f t="shared" si="0"/>
        <v>COUPLES</v>
      </c>
    </row>
    <row r="21" spans="1:15" x14ac:dyDescent="0.3">
      <c r="A21" s="18" t="s">
        <v>162</v>
      </c>
      <c r="B21" s="19">
        <v>0</v>
      </c>
      <c r="C21" s="19">
        <v>37</v>
      </c>
      <c r="D21" s="19">
        <v>2015</v>
      </c>
      <c r="E21" s="15" t="s">
        <v>183</v>
      </c>
      <c r="F21" s="19">
        <v>1</v>
      </c>
      <c r="G21" s="19">
        <v>0</v>
      </c>
      <c r="H21" s="19">
        <v>0</v>
      </c>
      <c r="I21" s="19" t="s">
        <v>167</v>
      </c>
      <c r="J21" s="19" t="s">
        <v>177</v>
      </c>
      <c r="K21" s="19" t="s">
        <v>177</v>
      </c>
      <c r="L21" s="19" t="s">
        <v>166</v>
      </c>
      <c r="M21" s="20">
        <v>42191</v>
      </c>
      <c r="N21" s="19" t="str">
        <f>IF([1]!Table1_1[[#This Row],[reserved_room_type]]=[1]!Table1_1[[#This Row],[assigned_room_type]],"Desired","Un-Desired")</f>
        <v>Desired</v>
      </c>
      <c r="O21" s="21" t="str">
        <f t="shared" si="0"/>
        <v>SINGLE</v>
      </c>
    </row>
    <row r="22" spans="1:15" x14ac:dyDescent="0.3">
      <c r="A22" s="14" t="s">
        <v>162</v>
      </c>
      <c r="B22" s="15">
        <v>0</v>
      </c>
      <c r="C22" s="15">
        <v>72</v>
      </c>
      <c r="D22" s="15">
        <v>2015</v>
      </c>
      <c r="E22" s="15" t="s">
        <v>163</v>
      </c>
      <c r="F22" s="15">
        <v>2</v>
      </c>
      <c r="G22" s="15">
        <v>0</v>
      </c>
      <c r="H22" s="15">
        <v>0</v>
      </c>
      <c r="I22" s="15" t="s">
        <v>164</v>
      </c>
      <c r="J22" s="15" t="s">
        <v>168</v>
      </c>
      <c r="K22" s="15" t="s">
        <v>168</v>
      </c>
      <c r="L22" s="15" t="s">
        <v>166</v>
      </c>
      <c r="M22" s="16">
        <v>42192</v>
      </c>
      <c r="N22" s="15" t="str">
        <f>IF([1]!Table1_1[[#This Row],[reserved_room_type]]=[1]!Table1_1[[#This Row],[assigned_room_type]],"Desired","Un-Desired")</f>
        <v>Desired</v>
      </c>
      <c r="O22" s="17" t="str">
        <f t="shared" si="0"/>
        <v>COUPLES</v>
      </c>
    </row>
    <row r="23" spans="1:15" x14ac:dyDescent="0.3">
      <c r="A23" s="18" t="s">
        <v>162</v>
      </c>
      <c r="B23" s="19">
        <v>0</v>
      </c>
      <c r="C23" s="19">
        <v>72</v>
      </c>
      <c r="D23" s="19">
        <v>2015</v>
      </c>
      <c r="E23" s="15" t="s">
        <v>184</v>
      </c>
      <c r="F23" s="19">
        <v>2</v>
      </c>
      <c r="G23" s="19">
        <v>0</v>
      </c>
      <c r="H23" s="19">
        <v>0</v>
      </c>
      <c r="I23" s="19" t="s">
        <v>164</v>
      </c>
      <c r="J23" s="19" t="s">
        <v>168</v>
      </c>
      <c r="K23" s="19" t="s">
        <v>168</v>
      </c>
      <c r="L23" s="19" t="s">
        <v>166</v>
      </c>
      <c r="M23" s="20">
        <v>42192</v>
      </c>
      <c r="N23" s="19" t="str">
        <f>IF([1]!Table1_1[[#This Row],[reserved_room_type]]=[1]!Table1_1[[#This Row],[assigned_room_type]],"Desired","Un-Desired")</f>
        <v>Desired</v>
      </c>
      <c r="O23" s="21" t="str">
        <f t="shared" si="0"/>
        <v>COUPLES</v>
      </c>
    </row>
    <row r="24" spans="1:15" x14ac:dyDescent="0.3">
      <c r="A24" s="14" t="s">
        <v>162</v>
      </c>
      <c r="B24" s="15">
        <v>0</v>
      </c>
      <c r="C24" s="15">
        <v>72</v>
      </c>
      <c r="D24" s="15">
        <v>2015</v>
      </c>
      <c r="E24" s="15" t="s">
        <v>163</v>
      </c>
      <c r="F24" s="15">
        <v>2</v>
      </c>
      <c r="G24" s="15">
        <v>0</v>
      </c>
      <c r="H24" s="15">
        <v>0</v>
      </c>
      <c r="I24" s="15" t="s">
        <v>164</v>
      </c>
      <c r="J24" s="15" t="s">
        <v>170</v>
      </c>
      <c r="K24" s="15" t="s">
        <v>170</v>
      </c>
      <c r="L24" s="15" t="s">
        <v>166</v>
      </c>
      <c r="M24" s="16">
        <v>42192</v>
      </c>
      <c r="N24" s="15" t="str">
        <f>IF([1]!Table1_1[[#This Row],[reserved_room_type]]=[1]!Table1_1[[#This Row],[assigned_room_type]],"Desired","Un-Desired")</f>
        <v>Desired</v>
      </c>
      <c r="O24" s="17" t="str">
        <f t="shared" si="0"/>
        <v>COUPLES</v>
      </c>
    </row>
    <row r="25" spans="1:15" x14ac:dyDescent="0.3">
      <c r="A25" s="18" t="s">
        <v>162</v>
      </c>
      <c r="B25" s="19">
        <v>0</v>
      </c>
      <c r="C25" s="19">
        <v>127</v>
      </c>
      <c r="D25" s="19">
        <v>2015</v>
      </c>
      <c r="E25" s="15" t="s">
        <v>185</v>
      </c>
      <c r="F25" s="19">
        <v>2</v>
      </c>
      <c r="G25" s="19">
        <v>0</v>
      </c>
      <c r="H25" s="19">
        <v>0</v>
      </c>
      <c r="I25" s="19" t="s">
        <v>167</v>
      </c>
      <c r="J25" s="19" t="s">
        <v>170</v>
      </c>
      <c r="K25" s="19" t="s">
        <v>178</v>
      </c>
      <c r="L25" s="19" t="s">
        <v>166</v>
      </c>
      <c r="M25" s="20">
        <v>42186</v>
      </c>
      <c r="N25" s="19" t="str">
        <f>IF([1]!Table1_1[[#This Row],[reserved_room_type]]=[1]!Table1_1[[#This Row],[assigned_room_type]],"Desired","Un-Desired")</f>
        <v>Un-Desired</v>
      </c>
      <c r="O25" s="21" t="str">
        <f t="shared" si="0"/>
        <v>COUPLES</v>
      </c>
    </row>
    <row r="26" spans="1:15" x14ac:dyDescent="0.3">
      <c r="A26" s="14" t="s">
        <v>162</v>
      </c>
      <c r="B26" s="15">
        <v>0</v>
      </c>
      <c r="C26" s="15">
        <v>78</v>
      </c>
      <c r="D26" s="15">
        <v>2015</v>
      </c>
      <c r="E26" s="15" t="s">
        <v>163</v>
      </c>
      <c r="F26" s="15">
        <v>2</v>
      </c>
      <c r="G26" s="15">
        <v>0</v>
      </c>
      <c r="H26" s="15">
        <v>0</v>
      </c>
      <c r="I26" s="15" t="s">
        <v>164</v>
      </c>
      <c r="J26" s="15" t="s">
        <v>170</v>
      </c>
      <c r="K26" s="15" t="s">
        <v>170</v>
      </c>
      <c r="L26" s="15" t="s">
        <v>166</v>
      </c>
      <c r="M26" s="16">
        <v>42193</v>
      </c>
      <c r="N26" s="15" t="str">
        <f>IF([1]!Table1_1[[#This Row],[reserved_room_type]]=[1]!Table1_1[[#This Row],[assigned_room_type]],"Desired","Un-Desired")</f>
        <v>Desired</v>
      </c>
      <c r="O26" s="17" t="str">
        <f t="shared" si="0"/>
        <v>COUPLES</v>
      </c>
    </row>
    <row r="27" spans="1:15" x14ac:dyDescent="0.3">
      <c r="A27" s="18" t="s">
        <v>162</v>
      </c>
      <c r="B27" s="19">
        <v>0</v>
      </c>
      <c r="C27" s="19">
        <v>48</v>
      </c>
      <c r="D27" s="19">
        <v>2015</v>
      </c>
      <c r="E27" s="15" t="s">
        <v>163</v>
      </c>
      <c r="F27" s="19">
        <v>2</v>
      </c>
      <c r="G27" s="19">
        <v>0</v>
      </c>
      <c r="H27" s="19">
        <v>0</v>
      </c>
      <c r="I27" s="19" t="s">
        <v>175</v>
      </c>
      <c r="J27" s="19" t="s">
        <v>170</v>
      </c>
      <c r="K27" s="19" t="s">
        <v>170</v>
      </c>
      <c r="L27" s="19" t="s">
        <v>166</v>
      </c>
      <c r="M27" s="20">
        <v>42193</v>
      </c>
      <c r="N27" s="19" t="str">
        <f>IF([1]!Table1_1[[#This Row],[reserved_room_type]]=[1]!Table1_1[[#This Row],[assigned_room_type]],"Desired","Un-Desired")</f>
        <v>Desired</v>
      </c>
      <c r="O27" s="21" t="str">
        <f t="shared" si="0"/>
        <v>COUPLES</v>
      </c>
    </row>
    <row r="28" spans="1:15" x14ac:dyDescent="0.3">
      <c r="A28" s="14" t="s">
        <v>162</v>
      </c>
      <c r="B28" s="15">
        <v>1</v>
      </c>
      <c r="C28" s="15">
        <v>60</v>
      </c>
      <c r="D28" s="15">
        <v>2015</v>
      </c>
      <c r="E28" s="15" t="s">
        <v>186</v>
      </c>
      <c r="F28" s="15">
        <v>2</v>
      </c>
      <c r="G28" s="15">
        <v>0</v>
      </c>
      <c r="H28" s="15">
        <v>0</v>
      </c>
      <c r="I28" s="15" t="s">
        <v>164</v>
      </c>
      <c r="J28" s="15" t="s">
        <v>171</v>
      </c>
      <c r="K28" s="15" t="s">
        <v>171</v>
      </c>
      <c r="L28" s="15" t="s">
        <v>169</v>
      </c>
      <c r="M28" s="16">
        <v>42135</v>
      </c>
      <c r="N28" s="15" t="str">
        <f>IF([1]!Table1_1[[#This Row],[reserved_room_type]]=[1]!Table1_1[[#This Row],[assigned_room_type]],"Desired","Un-Desired")</f>
        <v>Desired</v>
      </c>
      <c r="O28" s="17" t="str">
        <f t="shared" si="0"/>
        <v>COUPLES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7C4C1-E747-4E57-A9F5-4353E65D40CF}">
  <dimension ref="A1:O20"/>
  <sheetViews>
    <sheetView workbookViewId="0">
      <selection activeCell="N2" sqref="N2"/>
    </sheetView>
  </sheetViews>
  <sheetFormatPr defaultRowHeight="14.4" x14ac:dyDescent="0.3"/>
  <cols>
    <col min="6" max="6" width="11.21875" customWidth="1"/>
    <col min="10" max="10" width="21.33203125" customWidth="1"/>
    <col min="14" max="14" width="11.77734375" customWidth="1"/>
    <col min="15" max="15" width="11.5546875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134</v>
      </c>
      <c r="E1" s="2" t="s">
        <v>188</v>
      </c>
      <c r="F1" s="2" t="s">
        <v>189</v>
      </c>
      <c r="J1" s="22" t="s">
        <v>190</v>
      </c>
      <c r="K1" s="22" t="s">
        <v>197</v>
      </c>
      <c r="L1" s="22" t="s">
        <v>202</v>
      </c>
      <c r="M1" s="22" t="s">
        <v>203</v>
      </c>
      <c r="N1" s="22" t="s">
        <v>204</v>
      </c>
      <c r="O1" s="22" t="s">
        <v>205</v>
      </c>
    </row>
    <row r="2" spans="1:15" x14ac:dyDescent="0.3">
      <c r="A2" s="1">
        <v>101</v>
      </c>
      <c r="B2" s="1" t="s">
        <v>7</v>
      </c>
      <c r="C2" s="1" t="s">
        <v>127</v>
      </c>
      <c r="D2" s="1" t="str">
        <f>TRIM(C2)</f>
        <v>Mobile</v>
      </c>
      <c r="E2" s="1">
        <v>56</v>
      </c>
      <c r="F2" s="1">
        <f>IF(E2&gt;0,E2,0)</f>
        <v>56</v>
      </c>
      <c r="J2" s="1" t="s">
        <v>191</v>
      </c>
      <c r="K2" s="1" t="s">
        <v>196</v>
      </c>
      <c r="L2" s="1">
        <v>806945</v>
      </c>
      <c r="M2" s="1">
        <f>FIND("-",J2)</f>
        <v>6</v>
      </c>
      <c r="N2" s="1" t="str">
        <f>LEFT(J2,FIND("-",J2)-1)</f>
        <v>Buxar</v>
      </c>
      <c r="O2" s="1" t="str">
        <f>RIGHT(J2,LEN(J2)-FIND("-",J2))</f>
        <v>806945</v>
      </c>
    </row>
    <row r="3" spans="1:15" x14ac:dyDescent="0.3">
      <c r="A3" s="1">
        <v>102</v>
      </c>
      <c r="B3" s="1" t="s">
        <v>8</v>
      </c>
      <c r="C3" s="1" t="s">
        <v>126</v>
      </c>
      <c r="D3" s="1" t="str">
        <f t="shared" ref="D3:D20" si="0">TRIM(C3)</f>
        <v>Mobile</v>
      </c>
      <c r="E3" s="1">
        <v>-1</v>
      </c>
      <c r="F3" s="1">
        <f t="shared" ref="F3:F20" si="1">IF(E3&gt;0,E3,0)</f>
        <v>0</v>
      </c>
      <c r="J3" s="1" t="s">
        <v>192</v>
      </c>
      <c r="K3" s="1" t="s">
        <v>198</v>
      </c>
      <c r="L3" s="1">
        <v>123456</v>
      </c>
      <c r="M3" s="1">
        <f t="shared" ref="M3:M6" si="2">FIND("-",J3)</f>
        <v>6</v>
      </c>
      <c r="N3" s="1" t="str">
        <f t="shared" ref="N3:N6" si="3">LEFT(J3,FIND("-",J3)-1)</f>
        <v>Noida</v>
      </c>
      <c r="O3" s="1" t="str">
        <f t="shared" ref="O3:O6" si="4">RIGHT(J3,LEN(J3)-FIND("-",J3))</f>
        <v>123456</v>
      </c>
    </row>
    <row r="4" spans="1:15" x14ac:dyDescent="0.3">
      <c r="A4" s="1">
        <v>103</v>
      </c>
      <c r="B4" s="1" t="s">
        <v>9</v>
      </c>
      <c r="C4" s="1" t="s">
        <v>129</v>
      </c>
      <c r="D4" s="1" t="str">
        <f t="shared" si="0"/>
        <v>Mobile</v>
      </c>
      <c r="E4" s="1">
        <v>23</v>
      </c>
      <c r="F4" s="1">
        <f t="shared" si="1"/>
        <v>23</v>
      </c>
      <c r="J4" s="1" t="s">
        <v>193</v>
      </c>
      <c r="K4" s="1" t="s">
        <v>199</v>
      </c>
      <c r="L4" s="1">
        <v>15678</v>
      </c>
      <c r="M4" s="1">
        <f t="shared" si="2"/>
        <v>5</v>
      </c>
      <c r="N4" s="1" t="str">
        <f t="shared" si="3"/>
        <v>Pune</v>
      </c>
      <c r="O4" s="1" t="str">
        <f t="shared" si="4"/>
        <v>15678</v>
      </c>
    </row>
    <row r="5" spans="1:15" x14ac:dyDescent="0.3">
      <c r="A5" s="1">
        <v>104</v>
      </c>
      <c r="B5" s="1" t="s">
        <v>10</v>
      </c>
      <c r="C5" s="1" t="s">
        <v>130</v>
      </c>
      <c r="D5" s="1" t="str">
        <f t="shared" si="0"/>
        <v>Mobile</v>
      </c>
      <c r="E5" s="1">
        <v>43</v>
      </c>
      <c r="F5" s="1">
        <f t="shared" si="1"/>
        <v>43</v>
      </c>
      <c r="J5" s="1" t="s">
        <v>194</v>
      </c>
      <c r="K5" s="1" t="s">
        <v>200</v>
      </c>
      <c r="L5" s="1">
        <v>908765</v>
      </c>
      <c r="M5" s="1">
        <f t="shared" si="2"/>
        <v>7</v>
      </c>
      <c r="N5" s="1" t="str">
        <f t="shared" si="3"/>
        <v>Mumbai</v>
      </c>
      <c r="O5" s="1" t="str">
        <f t="shared" si="4"/>
        <v>908765</v>
      </c>
    </row>
    <row r="6" spans="1:15" x14ac:dyDescent="0.3">
      <c r="A6" s="1">
        <v>105</v>
      </c>
      <c r="B6" s="1" t="s">
        <v>11</v>
      </c>
      <c r="C6" s="1" t="s">
        <v>127</v>
      </c>
      <c r="D6" s="1" t="str">
        <f t="shared" si="0"/>
        <v>Mobile</v>
      </c>
      <c r="E6" s="1">
        <v>-30</v>
      </c>
      <c r="F6" s="1">
        <f t="shared" si="1"/>
        <v>0</v>
      </c>
      <c r="J6" s="1" t="s">
        <v>195</v>
      </c>
      <c r="K6" s="1" t="s">
        <v>201</v>
      </c>
      <c r="L6" s="1">
        <v>567834</v>
      </c>
      <c r="M6" s="1">
        <f t="shared" si="2"/>
        <v>11</v>
      </c>
      <c r="N6" s="1" t="str">
        <f t="shared" si="3"/>
        <v>Bikramganj</v>
      </c>
      <c r="O6" s="1" t="str">
        <f t="shared" si="4"/>
        <v>567834</v>
      </c>
    </row>
    <row r="7" spans="1:15" x14ac:dyDescent="0.3">
      <c r="A7" s="1">
        <v>106</v>
      </c>
      <c r="B7" s="1" t="s">
        <v>12</v>
      </c>
      <c r="C7" s="1" t="s">
        <v>128</v>
      </c>
      <c r="D7" s="1" t="str">
        <f t="shared" si="0"/>
        <v>Mobile</v>
      </c>
      <c r="E7" s="1">
        <v>11</v>
      </c>
      <c r="F7" s="1">
        <f t="shared" si="1"/>
        <v>11</v>
      </c>
    </row>
    <row r="8" spans="1:15" x14ac:dyDescent="0.3">
      <c r="A8" s="1">
        <v>107</v>
      </c>
      <c r="B8" s="1" t="s">
        <v>13</v>
      </c>
      <c r="C8" s="1" t="s">
        <v>29</v>
      </c>
      <c r="D8" s="1" t="str">
        <f t="shared" si="0"/>
        <v>Mobile</v>
      </c>
      <c r="E8" s="1">
        <v>24</v>
      </c>
      <c r="F8" s="1">
        <f t="shared" si="1"/>
        <v>24</v>
      </c>
    </row>
    <row r="9" spans="1:15" x14ac:dyDescent="0.3">
      <c r="A9" s="1">
        <v>108</v>
      </c>
      <c r="B9" s="1" t="s">
        <v>14</v>
      </c>
      <c r="C9" s="1" t="s">
        <v>127</v>
      </c>
      <c r="D9" s="1" t="str">
        <f t="shared" si="0"/>
        <v>Mobile</v>
      </c>
      <c r="E9" s="1">
        <v>-4</v>
      </c>
      <c r="F9" s="1">
        <f t="shared" si="1"/>
        <v>0</v>
      </c>
    </row>
    <row r="10" spans="1:15" x14ac:dyDescent="0.3">
      <c r="A10" s="1">
        <v>109</v>
      </c>
      <c r="B10" s="1" t="s">
        <v>15</v>
      </c>
      <c r="C10" s="1" t="s">
        <v>127</v>
      </c>
      <c r="D10" s="1" t="str">
        <f t="shared" si="0"/>
        <v>Mobile</v>
      </c>
      <c r="E10" s="1">
        <v>-6.3928571428571699</v>
      </c>
      <c r="F10" s="1">
        <f t="shared" si="1"/>
        <v>0</v>
      </c>
    </row>
    <row r="11" spans="1:15" x14ac:dyDescent="0.3">
      <c r="A11" s="1">
        <v>110</v>
      </c>
      <c r="B11" s="1" t="s">
        <v>16</v>
      </c>
      <c r="C11" s="1" t="s">
        <v>29</v>
      </c>
      <c r="D11" s="1" t="str">
        <f t="shared" si="0"/>
        <v>Mobile</v>
      </c>
      <c r="E11" s="1">
        <v>-11.202380952381001</v>
      </c>
      <c r="F11" s="1">
        <f t="shared" si="1"/>
        <v>0</v>
      </c>
    </row>
    <row r="12" spans="1:15" x14ac:dyDescent="0.3">
      <c r="A12" s="1">
        <v>111</v>
      </c>
      <c r="B12" s="1" t="s">
        <v>12</v>
      </c>
      <c r="C12" s="1" t="s">
        <v>29</v>
      </c>
      <c r="D12" s="1" t="str">
        <f t="shared" si="0"/>
        <v>Mobile</v>
      </c>
      <c r="E12" s="1">
        <v>-16.011904761904798</v>
      </c>
      <c r="F12" s="1">
        <f t="shared" si="1"/>
        <v>0</v>
      </c>
    </row>
    <row r="13" spans="1:15" x14ac:dyDescent="0.3">
      <c r="A13" s="1">
        <v>112</v>
      </c>
      <c r="B13" s="1" t="s">
        <v>17</v>
      </c>
      <c r="C13" s="1" t="s">
        <v>29</v>
      </c>
      <c r="D13" s="1" t="str">
        <f t="shared" si="0"/>
        <v>Mobile</v>
      </c>
      <c r="E13" s="1">
        <v>-20.821428571428601</v>
      </c>
      <c r="F13" s="1">
        <f t="shared" si="1"/>
        <v>0</v>
      </c>
    </row>
    <row r="14" spans="1:15" x14ac:dyDescent="0.3">
      <c r="A14" s="1">
        <v>113</v>
      </c>
      <c r="B14" s="1" t="s">
        <v>18</v>
      </c>
      <c r="C14" s="1" t="s">
        <v>29</v>
      </c>
      <c r="D14" s="1" t="str">
        <f t="shared" si="0"/>
        <v>Mobile</v>
      </c>
      <c r="E14" s="1">
        <v>-25.630952380952401</v>
      </c>
      <c r="F14" s="1">
        <f t="shared" si="1"/>
        <v>0</v>
      </c>
    </row>
    <row r="15" spans="1:15" x14ac:dyDescent="0.3">
      <c r="A15" s="1">
        <v>114</v>
      </c>
      <c r="B15" s="1" t="s">
        <v>19</v>
      </c>
      <c r="C15" s="1" t="s">
        <v>29</v>
      </c>
      <c r="D15" s="1" t="str">
        <f t="shared" si="0"/>
        <v>Mobile</v>
      </c>
      <c r="E15" s="1">
        <v>-30.4404761904762</v>
      </c>
      <c r="F15" s="1">
        <f t="shared" si="1"/>
        <v>0</v>
      </c>
    </row>
    <row r="16" spans="1:15" x14ac:dyDescent="0.3">
      <c r="A16" s="1">
        <v>115</v>
      </c>
      <c r="B16" s="1" t="s">
        <v>20</v>
      </c>
      <c r="C16" s="1" t="s">
        <v>131</v>
      </c>
      <c r="D16" s="1" t="str">
        <f t="shared" si="0"/>
        <v>tablet</v>
      </c>
      <c r="E16" s="1">
        <v>-35.25</v>
      </c>
      <c r="F16" s="1">
        <f t="shared" si="1"/>
        <v>0</v>
      </c>
    </row>
    <row r="17" spans="1:6" x14ac:dyDescent="0.3">
      <c r="A17" s="1">
        <v>116</v>
      </c>
      <c r="B17" s="1" t="s">
        <v>21</v>
      </c>
      <c r="C17" s="1" t="s">
        <v>132</v>
      </c>
      <c r="D17" s="1" t="str">
        <f t="shared" si="0"/>
        <v>earbuds</v>
      </c>
      <c r="E17" s="1">
        <v>-40.059523809523803</v>
      </c>
      <c r="F17" s="1">
        <f t="shared" si="1"/>
        <v>0</v>
      </c>
    </row>
    <row r="18" spans="1:6" x14ac:dyDescent="0.3">
      <c r="A18" s="1">
        <v>117</v>
      </c>
      <c r="B18" s="1" t="s">
        <v>22</v>
      </c>
      <c r="C18" s="1" t="s">
        <v>30</v>
      </c>
      <c r="D18" s="1" t="str">
        <f t="shared" si="0"/>
        <v>earbuds</v>
      </c>
      <c r="E18" s="1">
        <v>-44.869047619047599</v>
      </c>
      <c r="F18" s="1">
        <f t="shared" si="1"/>
        <v>0</v>
      </c>
    </row>
    <row r="19" spans="1:6" x14ac:dyDescent="0.3">
      <c r="A19" s="1">
        <v>118</v>
      </c>
      <c r="B19" s="1" t="s">
        <v>23</v>
      </c>
      <c r="C19" s="1" t="s">
        <v>133</v>
      </c>
      <c r="D19" s="1" t="str">
        <f t="shared" si="0"/>
        <v>earbuds</v>
      </c>
      <c r="E19" s="1">
        <v>-49.678571428571502</v>
      </c>
      <c r="F19" s="1">
        <f t="shared" si="1"/>
        <v>0</v>
      </c>
    </row>
    <row r="20" spans="1:6" x14ac:dyDescent="0.3">
      <c r="A20" s="1">
        <v>119</v>
      </c>
      <c r="B20" s="1" t="s">
        <v>24</v>
      </c>
      <c r="C20" s="1" t="s">
        <v>31</v>
      </c>
      <c r="D20" s="1" t="str">
        <f t="shared" si="0"/>
        <v>laptop</v>
      </c>
      <c r="E20" s="1">
        <v>-54.488095238095298</v>
      </c>
      <c r="F20" s="1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remove duplicates</vt:lpstr>
      <vt:lpstr>Sheet2</vt:lpstr>
      <vt:lpstr>Sheet3</vt:lpstr>
      <vt:lpstr>Logical Function</vt:lpstr>
      <vt:lpstr>sort and filter</vt:lpstr>
      <vt:lpstr>SORT ANF FILTER FORMULA</vt:lpstr>
      <vt:lpstr>Sheet5</vt:lpstr>
      <vt:lpstr>Data validation</vt:lpstr>
      <vt:lpstr>Incentive calculation</vt:lpstr>
      <vt:lpstr>Sheet4</vt:lpstr>
      <vt:lpstr>data cleaning</vt:lpstr>
      <vt:lpstr>Split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TIWARI</dc:creator>
  <cp:lastModifiedBy>PRADEEP TIWARI</cp:lastModifiedBy>
  <dcterms:created xsi:type="dcterms:W3CDTF">2025-08-07T15:59:26Z</dcterms:created>
  <dcterms:modified xsi:type="dcterms:W3CDTF">2025-08-10T09:27:10Z</dcterms:modified>
</cp:coreProperties>
</file>